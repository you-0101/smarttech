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G:\내 드라이브\2_Teaching\8_Data Analytics\"/>
    </mc:Choice>
  </mc:AlternateContent>
  <bookViews>
    <workbookView xWindow="0" yWindow="0" windowWidth="23025" windowHeight="11475" tabRatio="953" activeTab="5"/>
  </bookViews>
  <sheets>
    <sheet name="Timeseries" sheetId="2" r:id="rId1"/>
    <sheet name="SES" sheetId="3" r:id="rId2"/>
    <sheet name="Holt'sTrend-Corrected" sheetId="4" r:id="rId3"/>
    <sheet name="Holt's Autocorrelation" sheetId="5" r:id="rId4"/>
    <sheet name="HoltWintersInitial" sheetId="6" r:id="rId5"/>
    <sheet name="HoltWintersSeasonal" sheetId="7" r:id="rId6"/>
    <sheet name="Hw Autocorrelation" sheetId="8" r:id="rId7"/>
  </sheets>
  <definedNames>
    <definedName name="solver_adj" localSheetId="2" hidden="1">'Holt''sTrend-Corrected'!$C$2:$D$2</definedName>
    <definedName name="solver_adj" localSheetId="5" hidden="1">HoltWintersSeasonal!$C$2:$E$2</definedName>
    <definedName name="solver_adj" localSheetId="1" hidden="1">SES!$C$2</definedName>
    <definedName name="solver_cvg" localSheetId="2" hidden="1">0.0001</definedName>
    <definedName name="solver_cvg" localSheetId="5" hidden="1">0.0001</definedName>
    <definedName name="solver_cvg" localSheetId="1" hidden="1">0.0001</definedName>
    <definedName name="solver_drv" localSheetId="2" hidden="1">1</definedName>
    <definedName name="solver_drv" localSheetId="5" hidden="1">1</definedName>
    <definedName name="solver_drv" localSheetId="1" hidden="1">1</definedName>
    <definedName name="solver_eng" localSheetId="2" hidden="1">3</definedName>
    <definedName name="solver_eng" localSheetId="5" hidden="1">3</definedName>
    <definedName name="solver_eng" localSheetId="1" hidden="1">3</definedName>
    <definedName name="solver_est" localSheetId="2" hidden="1">1</definedName>
    <definedName name="solver_est" localSheetId="5" hidden="1">1</definedName>
    <definedName name="solver_est" localSheetId="1" hidden="1">1</definedName>
    <definedName name="solver_itr" localSheetId="2" hidden="1">2147483647</definedName>
    <definedName name="solver_itr" localSheetId="5" hidden="1">2147483647</definedName>
    <definedName name="solver_itr" localSheetId="1" hidden="1">2147483647</definedName>
    <definedName name="solver_lhs1" localSheetId="2" hidden="1">'Holt''sTrend-Corrected'!$C$2:$D$2</definedName>
    <definedName name="solver_lhs1" localSheetId="5" hidden="1">HoltWintersSeasonal!$C$2:$E$2</definedName>
    <definedName name="solver_lhs1" localSheetId="1" hidden="1">SES!$C$2</definedName>
    <definedName name="solver_mip" localSheetId="2" hidden="1">2147483647</definedName>
    <definedName name="solver_mip" localSheetId="5" hidden="1">2147483647</definedName>
    <definedName name="solver_mip" localSheetId="1" hidden="1">2147483647</definedName>
    <definedName name="solver_mni" localSheetId="2" hidden="1">30</definedName>
    <definedName name="solver_mni" localSheetId="5" hidden="1">30</definedName>
    <definedName name="solver_mni" localSheetId="1" hidden="1">30</definedName>
    <definedName name="solver_mrt" localSheetId="2" hidden="1">0.075</definedName>
    <definedName name="solver_mrt" localSheetId="5" hidden="1">0.075</definedName>
    <definedName name="solver_mrt" localSheetId="1" hidden="1">0.075</definedName>
    <definedName name="solver_msl" localSheetId="2" hidden="1">2</definedName>
    <definedName name="solver_msl" localSheetId="5" hidden="1">2</definedName>
    <definedName name="solver_msl" localSheetId="1" hidden="1">2</definedName>
    <definedName name="solver_neg" localSheetId="2" hidden="1">1</definedName>
    <definedName name="solver_neg" localSheetId="5" hidden="1">1</definedName>
    <definedName name="solver_neg" localSheetId="1" hidden="1">1</definedName>
    <definedName name="solver_nod" localSheetId="2" hidden="1">2147483647</definedName>
    <definedName name="solver_nod" localSheetId="5" hidden="1">2147483647</definedName>
    <definedName name="solver_nod" localSheetId="1" hidden="1">2147483647</definedName>
    <definedName name="solver_num" localSheetId="2" hidden="1">1</definedName>
    <definedName name="solver_num" localSheetId="5" hidden="1">1</definedName>
    <definedName name="solver_num" localSheetId="1" hidden="1">1</definedName>
    <definedName name="solver_nwt" localSheetId="2" hidden="1">1</definedName>
    <definedName name="solver_nwt" localSheetId="5" hidden="1">1</definedName>
    <definedName name="solver_nwt" localSheetId="1" hidden="1">1</definedName>
    <definedName name="solver_opt" localSheetId="2" hidden="1">'Holt''sTrend-Corrected'!$G$2</definedName>
    <definedName name="solver_opt" localSheetId="5" hidden="1">HoltWintersSeasonal!$H$2</definedName>
    <definedName name="solver_opt" localSheetId="1" hidden="1">SES!$F$2</definedName>
    <definedName name="solver_pre" localSheetId="2" hidden="1">0.000001</definedName>
    <definedName name="solver_pre" localSheetId="5" hidden="1">0.000001</definedName>
    <definedName name="solver_pre" localSheetId="1" hidden="1">0.000001</definedName>
    <definedName name="solver_rbv" localSheetId="2" hidden="1">1</definedName>
    <definedName name="solver_rbv" localSheetId="5" hidden="1">1</definedName>
    <definedName name="solver_rbv" localSheetId="1" hidden="1">1</definedName>
    <definedName name="solver_rel1" localSheetId="2" hidden="1">1</definedName>
    <definedName name="solver_rel1" localSheetId="5" hidden="1">1</definedName>
    <definedName name="solver_rel1" localSheetId="1" hidden="1">1</definedName>
    <definedName name="solver_rhs1" localSheetId="2" hidden="1">1</definedName>
    <definedName name="solver_rhs1" localSheetId="5" hidden="1">1</definedName>
    <definedName name="solver_rhs1" localSheetId="1" hidden="1">1</definedName>
    <definedName name="solver_rlx" localSheetId="2" hidden="1">2</definedName>
    <definedName name="solver_rlx" localSheetId="5" hidden="1">2</definedName>
    <definedName name="solver_rlx" localSheetId="1" hidden="1">2</definedName>
    <definedName name="solver_rsd" localSheetId="2" hidden="1">0</definedName>
    <definedName name="solver_rsd" localSheetId="5" hidden="1">0</definedName>
    <definedName name="solver_rsd" localSheetId="1" hidden="1">0</definedName>
    <definedName name="solver_scl" localSheetId="2" hidden="1">1</definedName>
    <definedName name="solver_scl" localSheetId="5" hidden="1">1</definedName>
    <definedName name="solver_scl" localSheetId="1" hidden="1">1</definedName>
    <definedName name="solver_sho" localSheetId="2" hidden="1">2</definedName>
    <definedName name="solver_sho" localSheetId="5" hidden="1">2</definedName>
    <definedName name="solver_sho" localSheetId="1" hidden="1">2</definedName>
    <definedName name="solver_ssz" localSheetId="2" hidden="1">100</definedName>
    <definedName name="solver_ssz" localSheetId="5" hidden="1">100</definedName>
    <definedName name="solver_ssz" localSheetId="1" hidden="1">100</definedName>
    <definedName name="solver_tim" localSheetId="2" hidden="1">2147483647</definedName>
    <definedName name="solver_tim" localSheetId="5" hidden="1">2147483647</definedName>
    <definedName name="solver_tim" localSheetId="1" hidden="1">2147483647</definedName>
    <definedName name="solver_tol" localSheetId="2" hidden="1">0.01</definedName>
    <definedName name="solver_tol" localSheetId="5" hidden="1">0.01</definedName>
    <definedName name="solver_tol" localSheetId="1" hidden="1">0.01</definedName>
    <definedName name="solver_typ" localSheetId="2" hidden="1">2</definedName>
    <definedName name="solver_typ" localSheetId="5" hidden="1">2</definedName>
    <definedName name="solver_typ" localSheetId="1" hidden="1">2</definedName>
    <definedName name="solver_val" localSheetId="2" hidden="1">0</definedName>
    <definedName name="solver_val" localSheetId="5" hidden="1">0</definedName>
    <definedName name="solver_val" localSheetId="1" hidden="1">0</definedName>
    <definedName name="solver_ver" localSheetId="2" hidden="1">3</definedName>
    <definedName name="solver_ver" localSheetId="5" hidden="1">3</definedName>
    <definedName name="solver_ver" localSheetId="1" hidden="1">3</definedName>
  </definedName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42" i="8" l="1"/>
  <c r="N42" i="8"/>
  <c r="M42" i="8"/>
  <c r="L42" i="8"/>
  <c r="K42" i="8"/>
  <c r="J42" i="8"/>
  <c r="I42" i="8"/>
  <c r="H42" i="8"/>
  <c r="G42" i="8"/>
  <c r="F42" i="8"/>
  <c r="E42" i="8"/>
  <c r="D42" i="8"/>
  <c r="O41" i="8"/>
  <c r="N41" i="8"/>
  <c r="M41" i="8"/>
  <c r="L41" i="8"/>
  <c r="K41" i="8"/>
  <c r="J41" i="8"/>
  <c r="I41" i="8"/>
  <c r="H41" i="8"/>
  <c r="G41" i="8"/>
  <c r="F41" i="8"/>
  <c r="E41" i="8"/>
  <c r="D41" i="8"/>
  <c r="B38" i="8"/>
  <c r="D34" i="8" s="1"/>
  <c r="E35" i="8" s="1"/>
  <c r="F36" i="8" s="1"/>
  <c r="G37" i="8" s="1"/>
  <c r="L6" i="8"/>
  <c r="M7" i="8" s="1"/>
  <c r="N8" i="8" s="1"/>
  <c r="O9" i="8" s="1"/>
  <c r="K6" i="8"/>
  <c r="L7" i="8" s="1"/>
  <c r="M8" i="8" s="1"/>
  <c r="N9" i="8" s="1"/>
  <c r="O10" i="8" s="1"/>
  <c r="I5" i="8"/>
  <c r="J6" i="8" s="1"/>
  <c r="K7" i="8" s="1"/>
  <c r="L8" i="8" s="1"/>
  <c r="M9" i="8" s="1"/>
  <c r="N10" i="8" s="1"/>
  <c r="O11" i="8" s="1"/>
  <c r="G5" i="8"/>
  <c r="H6" i="8" s="1"/>
  <c r="I7" i="8" s="1"/>
  <c r="J8" i="8" s="1"/>
  <c r="K9" i="8" s="1"/>
  <c r="L10" i="8" s="1"/>
  <c r="M11" i="8" s="1"/>
  <c r="N12" i="8" s="1"/>
  <c r="O13" i="8" s="1"/>
  <c r="N4" i="8"/>
  <c r="O5" i="8" s="1"/>
  <c r="M4" i="8"/>
  <c r="N5" i="8" s="1"/>
  <c r="O6" i="8" s="1"/>
  <c r="H4" i="8"/>
  <c r="F4" i="8"/>
  <c r="O3" i="8"/>
  <c r="N3" i="8"/>
  <c r="O4" i="8" s="1"/>
  <c r="M3" i="8"/>
  <c r="L3" i="8"/>
  <c r="K3" i="8"/>
  <c r="L4" i="8" s="1"/>
  <c r="M5" i="8" s="1"/>
  <c r="N6" i="8" s="1"/>
  <c r="O7" i="8" s="1"/>
  <c r="J3" i="8"/>
  <c r="K4" i="8" s="1"/>
  <c r="L5" i="8" s="1"/>
  <c r="M6" i="8" s="1"/>
  <c r="N7" i="8" s="1"/>
  <c r="O8" i="8" s="1"/>
  <c r="I3" i="8"/>
  <c r="J4" i="8" s="1"/>
  <c r="K5" i="8" s="1"/>
  <c r="H3" i="8"/>
  <c r="I4" i="8" s="1"/>
  <c r="J5" i="8" s="1"/>
  <c r="G3" i="8"/>
  <c r="F3" i="8"/>
  <c r="G4" i="8" s="1"/>
  <c r="H5" i="8" s="1"/>
  <c r="I6" i="8" s="1"/>
  <c r="J7" i="8" s="1"/>
  <c r="K8" i="8" s="1"/>
  <c r="L9" i="8" s="1"/>
  <c r="M10" i="8" s="1"/>
  <c r="N11" i="8" s="1"/>
  <c r="O12" i="8" s="1"/>
  <c r="E3" i="8"/>
  <c r="H17" i="7"/>
  <c r="C17" i="7"/>
  <c r="E17" i="7" s="1"/>
  <c r="G17" i="7"/>
  <c r="F17" i="7"/>
  <c r="D15" i="8" l="1"/>
  <c r="E16" i="8" s="1"/>
  <c r="F17" i="8" s="1"/>
  <c r="G18" i="8" s="1"/>
  <c r="H19" i="8" s="1"/>
  <c r="I20" i="8" s="1"/>
  <c r="J21" i="8" s="1"/>
  <c r="K22" i="8" s="1"/>
  <c r="L23" i="8" s="1"/>
  <c r="M24" i="8" s="1"/>
  <c r="N25" i="8" s="1"/>
  <c r="O26" i="8" s="1"/>
  <c r="D28" i="8"/>
  <c r="E29" i="8" s="1"/>
  <c r="F30" i="8" s="1"/>
  <c r="G31" i="8" s="1"/>
  <c r="H32" i="8" s="1"/>
  <c r="I33" i="8" s="1"/>
  <c r="J34" i="8" s="1"/>
  <c r="K35" i="8" s="1"/>
  <c r="L36" i="8" s="1"/>
  <c r="M37" i="8" s="1"/>
  <c r="D26" i="8"/>
  <c r="E27" i="8" s="1"/>
  <c r="F28" i="8" s="1"/>
  <c r="G29" i="8" s="1"/>
  <c r="H30" i="8" s="1"/>
  <c r="I31" i="8" s="1"/>
  <c r="J32" i="8" s="1"/>
  <c r="K33" i="8" s="1"/>
  <c r="L34" i="8" s="1"/>
  <c r="M35" i="8" s="1"/>
  <c r="N36" i="8" s="1"/>
  <c r="O37" i="8" s="1"/>
  <c r="D10" i="8"/>
  <c r="E11" i="8" s="1"/>
  <c r="F12" i="8" s="1"/>
  <c r="G13" i="8" s="1"/>
  <c r="H14" i="8" s="1"/>
  <c r="I15" i="8" s="1"/>
  <c r="J16" i="8" s="1"/>
  <c r="K17" i="8" s="1"/>
  <c r="L18" i="8" s="1"/>
  <c r="M19" i="8" s="1"/>
  <c r="N20" i="8" s="1"/>
  <c r="O21" i="8" s="1"/>
  <c r="D23" i="8"/>
  <c r="E24" i="8" s="1"/>
  <c r="F25" i="8" s="1"/>
  <c r="G26" i="8" s="1"/>
  <c r="H27" i="8" s="1"/>
  <c r="I28" i="8" s="1"/>
  <c r="J29" i="8" s="1"/>
  <c r="K30" i="8" s="1"/>
  <c r="L31" i="8" s="1"/>
  <c r="M32" i="8" s="1"/>
  <c r="N33" i="8" s="1"/>
  <c r="O34" i="8" s="1"/>
  <c r="D18" i="8"/>
  <c r="E19" i="8" s="1"/>
  <c r="F20" i="8" s="1"/>
  <c r="G21" i="8" s="1"/>
  <c r="H22" i="8" s="1"/>
  <c r="I23" i="8" s="1"/>
  <c r="J24" i="8" s="1"/>
  <c r="K25" i="8" s="1"/>
  <c r="L26" i="8" s="1"/>
  <c r="M27" i="8" s="1"/>
  <c r="N28" i="8" s="1"/>
  <c r="O29" i="8" s="1"/>
  <c r="D20" i="8"/>
  <c r="E21" i="8" s="1"/>
  <c r="F22" i="8" s="1"/>
  <c r="G23" i="8" s="1"/>
  <c r="H24" i="8" s="1"/>
  <c r="I25" i="8" s="1"/>
  <c r="J26" i="8" s="1"/>
  <c r="K27" i="8" s="1"/>
  <c r="L28" i="8" s="1"/>
  <c r="M29" i="8" s="1"/>
  <c r="N30" i="8" s="1"/>
  <c r="O31" i="8" s="1"/>
  <c r="D12" i="8"/>
  <c r="E13" i="8" s="1"/>
  <c r="F14" i="8" s="1"/>
  <c r="G15" i="8" s="1"/>
  <c r="H16" i="8" s="1"/>
  <c r="I17" i="8" s="1"/>
  <c r="J18" i="8" s="1"/>
  <c r="K19" i="8" s="1"/>
  <c r="L20" i="8" s="1"/>
  <c r="M21" i="8" s="1"/>
  <c r="N22" i="8" s="1"/>
  <c r="O23" i="8" s="1"/>
  <c r="D31" i="8"/>
  <c r="E32" i="8" s="1"/>
  <c r="F33" i="8" s="1"/>
  <c r="G34" i="8" s="1"/>
  <c r="H35" i="8" s="1"/>
  <c r="I36" i="8" s="1"/>
  <c r="J37" i="8" s="1"/>
  <c r="D36" i="8"/>
  <c r="E37" i="8" s="1"/>
  <c r="D7" i="8"/>
  <c r="E8" i="8" s="1"/>
  <c r="F9" i="8" s="1"/>
  <c r="G10" i="8" s="1"/>
  <c r="H11" i="8" s="1"/>
  <c r="I12" i="8" s="1"/>
  <c r="J13" i="8" s="1"/>
  <c r="K14" i="8" s="1"/>
  <c r="L15" i="8" s="1"/>
  <c r="M16" i="8" s="1"/>
  <c r="N17" i="8" s="1"/>
  <c r="O18" i="8" s="1"/>
  <c r="D4" i="8"/>
  <c r="E5" i="8" s="1"/>
  <c r="F6" i="8" s="1"/>
  <c r="G7" i="8" s="1"/>
  <c r="H8" i="8" s="1"/>
  <c r="I9" i="8" s="1"/>
  <c r="J10" i="8" s="1"/>
  <c r="K11" i="8" s="1"/>
  <c r="L12" i="8" s="1"/>
  <c r="M13" i="8" s="1"/>
  <c r="N14" i="8" s="1"/>
  <c r="O15" i="8" s="1"/>
  <c r="D37" i="8"/>
  <c r="D29" i="8"/>
  <c r="E30" i="8" s="1"/>
  <c r="F31" i="8" s="1"/>
  <c r="G32" i="8" s="1"/>
  <c r="H33" i="8" s="1"/>
  <c r="I34" i="8" s="1"/>
  <c r="J35" i="8" s="1"/>
  <c r="K36" i="8" s="1"/>
  <c r="L37" i="8" s="1"/>
  <c r="D21" i="8"/>
  <c r="E22" i="8" s="1"/>
  <c r="F23" i="8" s="1"/>
  <c r="G24" i="8" s="1"/>
  <c r="H25" i="8" s="1"/>
  <c r="I26" i="8" s="1"/>
  <c r="J27" i="8" s="1"/>
  <c r="K28" i="8" s="1"/>
  <c r="L29" i="8" s="1"/>
  <c r="M30" i="8" s="1"/>
  <c r="N31" i="8" s="1"/>
  <c r="O32" i="8" s="1"/>
  <c r="D13" i="8"/>
  <c r="E14" i="8" s="1"/>
  <c r="F15" i="8" s="1"/>
  <c r="G16" i="8" s="1"/>
  <c r="H17" i="8" s="1"/>
  <c r="I18" i="8" s="1"/>
  <c r="J19" i="8" s="1"/>
  <c r="K20" i="8" s="1"/>
  <c r="L21" i="8" s="1"/>
  <c r="M22" i="8" s="1"/>
  <c r="N23" i="8" s="1"/>
  <c r="O24" i="8" s="1"/>
  <c r="D5" i="8"/>
  <c r="E6" i="8" s="1"/>
  <c r="F7" i="8" s="1"/>
  <c r="G8" i="8" s="1"/>
  <c r="H9" i="8" s="1"/>
  <c r="I10" i="8" s="1"/>
  <c r="J11" i="8" s="1"/>
  <c r="K12" i="8" s="1"/>
  <c r="L13" i="8" s="1"/>
  <c r="M14" i="8" s="1"/>
  <c r="N15" i="8" s="1"/>
  <c r="O16" i="8" s="1"/>
  <c r="D32" i="8"/>
  <c r="E33" i="8" s="1"/>
  <c r="F34" i="8" s="1"/>
  <c r="G35" i="8" s="1"/>
  <c r="H36" i="8" s="1"/>
  <c r="I37" i="8" s="1"/>
  <c r="D24" i="8"/>
  <c r="E25" i="8" s="1"/>
  <c r="F26" i="8" s="1"/>
  <c r="G27" i="8" s="1"/>
  <c r="H28" i="8" s="1"/>
  <c r="I29" i="8" s="1"/>
  <c r="J30" i="8" s="1"/>
  <c r="K31" i="8" s="1"/>
  <c r="L32" i="8" s="1"/>
  <c r="M33" i="8" s="1"/>
  <c r="N34" i="8" s="1"/>
  <c r="O35" i="8" s="1"/>
  <c r="D16" i="8"/>
  <c r="E17" i="8" s="1"/>
  <c r="F18" i="8" s="1"/>
  <c r="G19" i="8" s="1"/>
  <c r="H20" i="8" s="1"/>
  <c r="I21" i="8" s="1"/>
  <c r="J22" i="8" s="1"/>
  <c r="K23" i="8" s="1"/>
  <c r="L24" i="8" s="1"/>
  <c r="M25" i="8" s="1"/>
  <c r="N26" i="8" s="1"/>
  <c r="O27" i="8" s="1"/>
  <c r="D8" i="8"/>
  <c r="E9" i="8" s="1"/>
  <c r="F10" i="8" s="1"/>
  <c r="G11" i="8" s="1"/>
  <c r="H12" i="8" s="1"/>
  <c r="I13" i="8" s="1"/>
  <c r="J14" i="8" s="1"/>
  <c r="K15" i="8" s="1"/>
  <c r="L16" i="8" s="1"/>
  <c r="M17" i="8" s="1"/>
  <c r="N18" i="8" s="1"/>
  <c r="O19" i="8" s="1"/>
  <c r="D30" i="8"/>
  <c r="E31" i="8" s="1"/>
  <c r="F32" i="8" s="1"/>
  <c r="G33" i="8" s="1"/>
  <c r="H34" i="8" s="1"/>
  <c r="I35" i="8" s="1"/>
  <c r="J36" i="8" s="1"/>
  <c r="K37" i="8" s="1"/>
  <c r="D35" i="8"/>
  <c r="E36" i="8" s="1"/>
  <c r="F37" i="8" s="1"/>
  <c r="D27" i="8"/>
  <c r="E28" i="8" s="1"/>
  <c r="F29" i="8" s="1"/>
  <c r="G30" i="8" s="1"/>
  <c r="H31" i="8" s="1"/>
  <c r="I32" i="8" s="1"/>
  <c r="J33" i="8" s="1"/>
  <c r="K34" i="8" s="1"/>
  <c r="L35" i="8" s="1"/>
  <c r="M36" i="8" s="1"/>
  <c r="N37" i="8" s="1"/>
  <c r="D19" i="8"/>
  <c r="E20" i="8" s="1"/>
  <c r="F21" i="8" s="1"/>
  <c r="G22" i="8" s="1"/>
  <c r="H23" i="8" s="1"/>
  <c r="I24" i="8" s="1"/>
  <c r="J25" i="8" s="1"/>
  <c r="K26" i="8" s="1"/>
  <c r="L27" i="8" s="1"/>
  <c r="M28" i="8" s="1"/>
  <c r="N29" i="8" s="1"/>
  <c r="O30" i="8" s="1"/>
  <c r="D11" i="8"/>
  <c r="E12" i="8" s="1"/>
  <c r="F13" i="8" s="1"/>
  <c r="G14" i="8" s="1"/>
  <c r="H15" i="8" s="1"/>
  <c r="I16" i="8" s="1"/>
  <c r="J17" i="8" s="1"/>
  <c r="K18" i="8" s="1"/>
  <c r="L19" i="8" s="1"/>
  <c r="M20" i="8" s="1"/>
  <c r="N21" i="8" s="1"/>
  <c r="O22" i="8" s="1"/>
  <c r="D22" i="8"/>
  <c r="E23" i="8" s="1"/>
  <c r="F24" i="8" s="1"/>
  <c r="G25" i="8" s="1"/>
  <c r="H26" i="8" s="1"/>
  <c r="I27" i="8" s="1"/>
  <c r="J28" i="8" s="1"/>
  <c r="K29" i="8" s="1"/>
  <c r="L30" i="8" s="1"/>
  <c r="M31" i="8" s="1"/>
  <c r="N32" i="8" s="1"/>
  <c r="O33" i="8" s="1"/>
  <c r="D14" i="8"/>
  <c r="E15" i="8" s="1"/>
  <c r="F16" i="8" s="1"/>
  <c r="G17" i="8" s="1"/>
  <c r="H18" i="8" s="1"/>
  <c r="I19" i="8" s="1"/>
  <c r="J20" i="8" s="1"/>
  <c r="K21" i="8" s="1"/>
  <c r="L22" i="8" s="1"/>
  <c r="M23" i="8" s="1"/>
  <c r="N24" i="8" s="1"/>
  <c r="O25" i="8" s="1"/>
  <c r="D6" i="8"/>
  <c r="E7" i="8" s="1"/>
  <c r="F8" i="8" s="1"/>
  <c r="G9" i="8" s="1"/>
  <c r="H10" i="8" s="1"/>
  <c r="I11" i="8" s="1"/>
  <c r="J12" i="8" s="1"/>
  <c r="K13" i="8" s="1"/>
  <c r="L14" i="8" s="1"/>
  <c r="M15" i="8" s="1"/>
  <c r="N16" i="8" s="1"/>
  <c r="O17" i="8" s="1"/>
  <c r="D33" i="8"/>
  <c r="E34" i="8" s="1"/>
  <c r="F35" i="8" s="1"/>
  <c r="G36" i="8" s="1"/>
  <c r="H37" i="8" s="1"/>
  <c r="D25" i="8"/>
  <c r="E26" i="8" s="1"/>
  <c r="F27" i="8" s="1"/>
  <c r="G28" i="8" s="1"/>
  <c r="H29" i="8" s="1"/>
  <c r="I30" i="8" s="1"/>
  <c r="J31" i="8" s="1"/>
  <c r="K32" i="8" s="1"/>
  <c r="L33" i="8" s="1"/>
  <c r="M34" i="8" s="1"/>
  <c r="N35" i="8" s="1"/>
  <c r="O36" i="8" s="1"/>
  <c r="D17" i="8"/>
  <c r="E18" i="8" s="1"/>
  <c r="F19" i="8" s="1"/>
  <c r="G20" i="8" s="1"/>
  <c r="H21" i="8" s="1"/>
  <c r="I22" i="8" s="1"/>
  <c r="J23" i="8" s="1"/>
  <c r="K24" i="8" s="1"/>
  <c r="L25" i="8" s="1"/>
  <c r="M26" i="8" s="1"/>
  <c r="N27" i="8" s="1"/>
  <c r="O28" i="8" s="1"/>
  <c r="D9" i="8"/>
  <c r="E10" i="8" s="1"/>
  <c r="F11" i="8" s="1"/>
  <c r="G12" i="8" s="1"/>
  <c r="H13" i="8" s="1"/>
  <c r="I14" i="8" s="1"/>
  <c r="J15" i="8" s="1"/>
  <c r="K16" i="8" s="1"/>
  <c r="L17" i="8" s="1"/>
  <c r="M18" i="8" s="1"/>
  <c r="N19" i="8" s="1"/>
  <c r="O20" i="8" s="1"/>
  <c r="D17" i="7"/>
  <c r="F18" i="7" s="1"/>
  <c r="G18" i="7" s="1"/>
  <c r="H18" i="7" s="1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2" i="6"/>
  <c r="F3" i="6"/>
  <c r="F4" i="6"/>
  <c r="F5" i="6"/>
  <c r="F6" i="6"/>
  <c r="F7" i="6"/>
  <c r="F8" i="6"/>
  <c r="F9" i="6"/>
  <c r="F10" i="6"/>
  <c r="F11" i="6"/>
  <c r="F12" i="6"/>
  <c r="F13" i="6"/>
  <c r="F2" i="6"/>
  <c r="E9" i="6"/>
  <c r="E10" i="6"/>
  <c r="E11" i="6"/>
  <c r="E12" i="6"/>
  <c r="E13" i="6"/>
  <c r="E8" i="6"/>
  <c r="E3" i="6"/>
  <c r="E4" i="6"/>
  <c r="E5" i="6"/>
  <c r="E6" i="6"/>
  <c r="E7" i="6"/>
  <c r="E2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8" i="6"/>
  <c r="E41" i="5"/>
  <c r="F41" i="5"/>
  <c r="G41" i="5"/>
  <c r="H41" i="5"/>
  <c r="I41" i="5"/>
  <c r="J41" i="5"/>
  <c r="K41" i="5"/>
  <c r="L41" i="5"/>
  <c r="M41" i="5"/>
  <c r="N41" i="5"/>
  <c r="O41" i="5"/>
  <c r="E42" i="5"/>
  <c r="F42" i="5"/>
  <c r="G42" i="5"/>
  <c r="H42" i="5"/>
  <c r="I42" i="5"/>
  <c r="J42" i="5"/>
  <c r="K42" i="5"/>
  <c r="L42" i="5"/>
  <c r="M42" i="5"/>
  <c r="N42" i="5"/>
  <c r="O42" i="5"/>
  <c r="D42" i="5"/>
  <c r="D41" i="5"/>
  <c r="O40" i="5"/>
  <c r="E40" i="5"/>
  <c r="F40" i="5"/>
  <c r="G40" i="5"/>
  <c r="H40" i="5"/>
  <c r="I40" i="5"/>
  <c r="J40" i="5"/>
  <c r="K40" i="5"/>
  <c r="L40" i="5"/>
  <c r="M40" i="5"/>
  <c r="N40" i="5"/>
  <c r="D40" i="5"/>
  <c r="E3" i="5"/>
  <c r="F3" i="5"/>
  <c r="G3" i="5"/>
  <c r="H3" i="5"/>
  <c r="I3" i="5"/>
  <c r="J4" i="5" s="1"/>
  <c r="J3" i="5"/>
  <c r="K3" i="5"/>
  <c r="L3" i="5"/>
  <c r="M3" i="5"/>
  <c r="N3" i="5"/>
  <c r="O3" i="5"/>
  <c r="E4" i="5"/>
  <c r="F4" i="5"/>
  <c r="G5" i="5" s="1"/>
  <c r="G4" i="5"/>
  <c r="H4" i="5"/>
  <c r="I4" i="5"/>
  <c r="J5" i="5" s="1"/>
  <c r="K6" i="5" s="1"/>
  <c r="L7" i="5" s="1"/>
  <c r="M8" i="5" s="1"/>
  <c r="N9" i="5" s="1"/>
  <c r="O10" i="5" s="1"/>
  <c r="K4" i="5"/>
  <c r="L4" i="5"/>
  <c r="N4" i="5"/>
  <c r="O5" i="5" s="1"/>
  <c r="O4" i="5"/>
  <c r="E5" i="5"/>
  <c r="F6" i="5" s="1"/>
  <c r="G7" i="5" s="1"/>
  <c r="H8" i="5" s="1"/>
  <c r="I9" i="5" s="1"/>
  <c r="J10" i="5" s="1"/>
  <c r="K11" i="5" s="1"/>
  <c r="L12" i="5" s="1"/>
  <c r="M13" i="5" s="1"/>
  <c r="N14" i="5" s="1"/>
  <c r="O15" i="5" s="1"/>
  <c r="F5" i="5"/>
  <c r="G6" i="5" s="1"/>
  <c r="H7" i="5" s="1"/>
  <c r="I8" i="5" s="1"/>
  <c r="J9" i="5" s="1"/>
  <c r="K10" i="5" s="1"/>
  <c r="L11" i="5" s="1"/>
  <c r="M12" i="5" s="1"/>
  <c r="N13" i="5" s="1"/>
  <c r="O14" i="5" s="1"/>
  <c r="H5" i="5"/>
  <c r="I5" i="5"/>
  <c r="L5" i="5"/>
  <c r="M5" i="5"/>
  <c r="E6" i="5"/>
  <c r="I6" i="5"/>
  <c r="J6" i="5"/>
  <c r="M6" i="5"/>
  <c r="N6" i="5"/>
  <c r="E7" i="5"/>
  <c r="F8" i="5" s="1"/>
  <c r="G9" i="5" s="1"/>
  <c r="H10" i="5" s="1"/>
  <c r="I11" i="5" s="1"/>
  <c r="J12" i="5" s="1"/>
  <c r="K13" i="5" s="1"/>
  <c r="L14" i="5" s="1"/>
  <c r="M15" i="5" s="1"/>
  <c r="N16" i="5" s="1"/>
  <c r="O17" i="5" s="1"/>
  <c r="F7" i="5"/>
  <c r="J7" i="5"/>
  <c r="K7" i="5"/>
  <c r="N7" i="5"/>
  <c r="O7" i="5"/>
  <c r="E8" i="5"/>
  <c r="G8" i="5"/>
  <c r="K8" i="5"/>
  <c r="L8" i="5"/>
  <c r="M9" i="5" s="1"/>
  <c r="N10" i="5" s="1"/>
  <c r="O11" i="5" s="1"/>
  <c r="O8" i="5"/>
  <c r="E9" i="5"/>
  <c r="H9" i="5"/>
  <c r="L9" i="5"/>
  <c r="E10" i="5"/>
  <c r="F10" i="5"/>
  <c r="G11" i="5" s="1"/>
  <c r="H12" i="5" s="1"/>
  <c r="I13" i="5" s="1"/>
  <c r="J14" i="5" s="1"/>
  <c r="K15" i="5" s="1"/>
  <c r="L16" i="5" s="1"/>
  <c r="M17" i="5" s="1"/>
  <c r="N18" i="5" s="1"/>
  <c r="O19" i="5" s="1"/>
  <c r="I10" i="5"/>
  <c r="M10" i="5"/>
  <c r="N11" i="5" s="1"/>
  <c r="O12" i="5" s="1"/>
  <c r="E11" i="5"/>
  <c r="F11" i="5"/>
  <c r="J11" i="5"/>
  <c r="E12" i="5"/>
  <c r="F12" i="5"/>
  <c r="G13" i="5" s="1"/>
  <c r="H14" i="5" s="1"/>
  <c r="I15" i="5" s="1"/>
  <c r="J16" i="5" s="1"/>
  <c r="K17" i="5" s="1"/>
  <c r="L18" i="5" s="1"/>
  <c r="M19" i="5" s="1"/>
  <c r="N20" i="5" s="1"/>
  <c r="O21" i="5" s="1"/>
  <c r="G12" i="5"/>
  <c r="K12" i="5"/>
  <c r="L13" i="5" s="1"/>
  <c r="M14" i="5" s="1"/>
  <c r="N15" i="5" s="1"/>
  <c r="O16" i="5" s="1"/>
  <c r="E13" i="5"/>
  <c r="F14" i="5" s="1"/>
  <c r="G15" i="5" s="1"/>
  <c r="H16" i="5" s="1"/>
  <c r="I17" i="5" s="1"/>
  <c r="J18" i="5" s="1"/>
  <c r="K19" i="5" s="1"/>
  <c r="L20" i="5" s="1"/>
  <c r="M21" i="5" s="1"/>
  <c r="N22" i="5" s="1"/>
  <c r="O23" i="5" s="1"/>
  <c r="F13" i="5"/>
  <c r="G14" i="5" s="1"/>
  <c r="H15" i="5" s="1"/>
  <c r="I16" i="5" s="1"/>
  <c r="J17" i="5" s="1"/>
  <c r="K18" i="5" s="1"/>
  <c r="H13" i="5"/>
  <c r="I14" i="5" s="1"/>
  <c r="J15" i="5" s="1"/>
  <c r="K16" i="5" s="1"/>
  <c r="L17" i="5" s="1"/>
  <c r="M18" i="5" s="1"/>
  <c r="N19" i="5" s="1"/>
  <c r="O20" i="5" s="1"/>
  <c r="E14" i="5"/>
  <c r="F15" i="5" s="1"/>
  <c r="G16" i="5" s="1"/>
  <c r="H17" i="5" s="1"/>
  <c r="I18" i="5" s="1"/>
  <c r="J19" i="5" s="1"/>
  <c r="K20" i="5" s="1"/>
  <c r="L21" i="5" s="1"/>
  <c r="M22" i="5" s="1"/>
  <c r="N23" i="5" s="1"/>
  <c r="O24" i="5" s="1"/>
  <c r="E15" i="5"/>
  <c r="F16" i="5" s="1"/>
  <c r="G17" i="5" s="1"/>
  <c r="H18" i="5" s="1"/>
  <c r="I19" i="5" s="1"/>
  <c r="J20" i="5" s="1"/>
  <c r="K21" i="5" s="1"/>
  <c r="L22" i="5" s="1"/>
  <c r="M23" i="5" s="1"/>
  <c r="N24" i="5" s="1"/>
  <c r="O25" i="5" s="1"/>
  <c r="E16" i="5"/>
  <c r="F17" i="5" s="1"/>
  <c r="G18" i="5" s="1"/>
  <c r="H19" i="5" s="1"/>
  <c r="I20" i="5" s="1"/>
  <c r="J21" i="5" s="1"/>
  <c r="K22" i="5" s="1"/>
  <c r="L23" i="5" s="1"/>
  <c r="M24" i="5" s="1"/>
  <c r="N25" i="5" s="1"/>
  <c r="O26" i="5" s="1"/>
  <c r="E17" i="5"/>
  <c r="E18" i="5"/>
  <c r="F19" i="5" s="1"/>
  <c r="G20" i="5" s="1"/>
  <c r="H21" i="5" s="1"/>
  <c r="I22" i="5" s="1"/>
  <c r="J23" i="5" s="1"/>
  <c r="K24" i="5" s="1"/>
  <c r="L25" i="5" s="1"/>
  <c r="M26" i="5" s="1"/>
  <c r="N27" i="5" s="1"/>
  <c r="O28" i="5" s="1"/>
  <c r="F18" i="5"/>
  <c r="G19" i="5" s="1"/>
  <c r="H20" i="5" s="1"/>
  <c r="I21" i="5" s="1"/>
  <c r="J22" i="5" s="1"/>
  <c r="K23" i="5" s="1"/>
  <c r="L24" i="5" s="1"/>
  <c r="M25" i="5" s="1"/>
  <c r="N26" i="5" s="1"/>
  <c r="O27" i="5" s="1"/>
  <c r="E19" i="5"/>
  <c r="L19" i="5"/>
  <c r="M20" i="5" s="1"/>
  <c r="N21" i="5" s="1"/>
  <c r="O22" i="5" s="1"/>
  <c r="E20" i="5"/>
  <c r="F20" i="5"/>
  <c r="G21" i="5" s="1"/>
  <c r="H22" i="5" s="1"/>
  <c r="I23" i="5" s="1"/>
  <c r="J24" i="5" s="1"/>
  <c r="K25" i="5" s="1"/>
  <c r="L26" i="5" s="1"/>
  <c r="M27" i="5" s="1"/>
  <c r="N28" i="5" s="1"/>
  <c r="O29" i="5" s="1"/>
  <c r="E21" i="5"/>
  <c r="F22" i="5" s="1"/>
  <c r="G23" i="5" s="1"/>
  <c r="H24" i="5" s="1"/>
  <c r="I25" i="5" s="1"/>
  <c r="J26" i="5" s="1"/>
  <c r="K27" i="5" s="1"/>
  <c r="L28" i="5" s="1"/>
  <c r="M29" i="5" s="1"/>
  <c r="N30" i="5" s="1"/>
  <c r="O31" i="5" s="1"/>
  <c r="F21" i="5"/>
  <c r="G22" i="5" s="1"/>
  <c r="E22" i="5"/>
  <c r="E23" i="5"/>
  <c r="F24" i="5" s="1"/>
  <c r="G25" i="5" s="1"/>
  <c r="H26" i="5" s="1"/>
  <c r="I27" i="5" s="1"/>
  <c r="J28" i="5" s="1"/>
  <c r="K29" i="5" s="1"/>
  <c r="L30" i="5" s="1"/>
  <c r="M31" i="5" s="1"/>
  <c r="N32" i="5" s="1"/>
  <c r="O33" i="5" s="1"/>
  <c r="F23" i="5"/>
  <c r="G24" i="5" s="1"/>
  <c r="H25" i="5" s="1"/>
  <c r="I26" i="5" s="1"/>
  <c r="J27" i="5" s="1"/>
  <c r="K28" i="5" s="1"/>
  <c r="L29" i="5" s="1"/>
  <c r="M30" i="5" s="1"/>
  <c r="N31" i="5" s="1"/>
  <c r="O32" i="5" s="1"/>
  <c r="H23" i="5"/>
  <c r="I24" i="5" s="1"/>
  <c r="J25" i="5" s="1"/>
  <c r="K26" i="5" s="1"/>
  <c r="L27" i="5" s="1"/>
  <c r="M28" i="5" s="1"/>
  <c r="N29" i="5" s="1"/>
  <c r="O30" i="5" s="1"/>
  <c r="E24" i="5"/>
  <c r="F25" i="5" s="1"/>
  <c r="E25" i="5"/>
  <c r="E26" i="5"/>
  <c r="F27" i="5" s="1"/>
  <c r="G28" i="5" s="1"/>
  <c r="H29" i="5" s="1"/>
  <c r="I30" i="5" s="1"/>
  <c r="J31" i="5" s="1"/>
  <c r="K32" i="5" s="1"/>
  <c r="L33" i="5" s="1"/>
  <c r="M34" i="5" s="1"/>
  <c r="N35" i="5" s="1"/>
  <c r="O36" i="5" s="1"/>
  <c r="F26" i="5"/>
  <c r="G27" i="5" s="1"/>
  <c r="H28" i="5" s="1"/>
  <c r="I29" i="5" s="1"/>
  <c r="J30" i="5" s="1"/>
  <c r="K31" i="5" s="1"/>
  <c r="L32" i="5" s="1"/>
  <c r="M33" i="5" s="1"/>
  <c r="N34" i="5" s="1"/>
  <c r="O35" i="5" s="1"/>
  <c r="G26" i="5"/>
  <c r="H27" i="5" s="1"/>
  <c r="I28" i="5" s="1"/>
  <c r="J29" i="5" s="1"/>
  <c r="K30" i="5" s="1"/>
  <c r="L31" i="5" s="1"/>
  <c r="M32" i="5" s="1"/>
  <c r="N33" i="5" s="1"/>
  <c r="O34" i="5" s="1"/>
  <c r="E27" i="5"/>
  <c r="E28" i="5"/>
  <c r="F28" i="5"/>
  <c r="G29" i="5" s="1"/>
  <c r="H30" i="5" s="1"/>
  <c r="I31" i="5" s="1"/>
  <c r="J32" i="5" s="1"/>
  <c r="K33" i="5" s="1"/>
  <c r="L34" i="5" s="1"/>
  <c r="M35" i="5" s="1"/>
  <c r="N36" i="5" s="1"/>
  <c r="O37" i="5" s="1"/>
  <c r="E29" i="5"/>
  <c r="F30" i="5" s="1"/>
  <c r="G31" i="5" s="1"/>
  <c r="H32" i="5" s="1"/>
  <c r="I33" i="5" s="1"/>
  <c r="J34" i="5" s="1"/>
  <c r="K35" i="5" s="1"/>
  <c r="L36" i="5" s="1"/>
  <c r="M37" i="5" s="1"/>
  <c r="F29" i="5"/>
  <c r="G30" i="5" s="1"/>
  <c r="H31" i="5" s="1"/>
  <c r="I32" i="5" s="1"/>
  <c r="J33" i="5" s="1"/>
  <c r="K34" i="5" s="1"/>
  <c r="L35" i="5" s="1"/>
  <c r="M36" i="5" s="1"/>
  <c r="N37" i="5" s="1"/>
  <c r="E30" i="5"/>
  <c r="E31" i="5"/>
  <c r="F32" i="5" s="1"/>
  <c r="G33" i="5" s="1"/>
  <c r="H34" i="5" s="1"/>
  <c r="I35" i="5" s="1"/>
  <c r="J36" i="5" s="1"/>
  <c r="K37" i="5" s="1"/>
  <c r="F31" i="5"/>
  <c r="G32" i="5" s="1"/>
  <c r="H33" i="5" s="1"/>
  <c r="I34" i="5" s="1"/>
  <c r="J35" i="5" s="1"/>
  <c r="K36" i="5" s="1"/>
  <c r="L37" i="5" s="1"/>
  <c r="E32" i="5"/>
  <c r="F33" i="5" s="1"/>
  <c r="G34" i="5" s="1"/>
  <c r="H35" i="5" s="1"/>
  <c r="I36" i="5" s="1"/>
  <c r="J37" i="5" s="1"/>
  <c r="E33" i="5"/>
  <c r="E34" i="5"/>
  <c r="F35" i="5" s="1"/>
  <c r="G36" i="5" s="1"/>
  <c r="H37" i="5" s="1"/>
  <c r="F34" i="5"/>
  <c r="G35" i="5" s="1"/>
  <c r="H36" i="5" s="1"/>
  <c r="I37" i="5" s="1"/>
  <c r="E35" i="5"/>
  <c r="E36" i="5"/>
  <c r="F36" i="5"/>
  <c r="G37" i="5" s="1"/>
  <c r="E37" i="5"/>
  <c r="F37" i="5"/>
  <c r="D38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" i="5"/>
  <c r="C38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2" i="5"/>
  <c r="B38" i="5"/>
  <c r="G6" i="4"/>
  <c r="D6" i="4"/>
  <c r="C6" i="4"/>
  <c r="F6" i="4"/>
  <c r="E6" i="4"/>
  <c r="D3" i="8" l="1"/>
  <c r="E4" i="8" s="1"/>
  <c r="F5" i="8" s="1"/>
  <c r="G6" i="8" s="1"/>
  <c r="H7" i="8" s="1"/>
  <c r="I8" i="8" s="1"/>
  <c r="J9" i="8" s="1"/>
  <c r="K10" i="8" s="1"/>
  <c r="L11" i="8" s="1"/>
  <c r="M12" i="8" s="1"/>
  <c r="N13" i="8" s="1"/>
  <c r="O14" i="8" s="1"/>
  <c r="O38" i="8" s="1"/>
  <c r="O40" i="8" s="1"/>
  <c r="C38" i="8"/>
  <c r="C18" i="7"/>
  <c r="E38" i="5"/>
  <c r="H6" i="5"/>
  <c r="K5" i="5"/>
  <c r="F9" i="5"/>
  <c r="G10" i="5" s="1"/>
  <c r="H11" i="5" s="1"/>
  <c r="I12" i="5" s="1"/>
  <c r="J13" i="5" s="1"/>
  <c r="K14" i="5" s="1"/>
  <c r="L15" i="5" s="1"/>
  <c r="M16" i="5" s="1"/>
  <c r="N17" i="5" s="1"/>
  <c r="O18" i="5" s="1"/>
  <c r="M4" i="5"/>
  <c r="F38" i="5"/>
  <c r="E7" i="4"/>
  <c r="F7" i="4" s="1"/>
  <c r="D7" i="4" s="1"/>
  <c r="B42" i="2"/>
  <c r="B41" i="2"/>
  <c r="B40" i="2"/>
  <c r="B39" i="2"/>
  <c r="F6" i="3"/>
  <c r="F38" i="8" l="1"/>
  <c r="F40" i="8" s="1"/>
  <c r="N38" i="8"/>
  <c r="N40" i="8" s="1"/>
  <c r="E38" i="8"/>
  <c r="E40" i="8" s="1"/>
  <c r="H38" i="8"/>
  <c r="H40" i="8" s="1"/>
  <c r="G38" i="8"/>
  <c r="G40" i="8" s="1"/>
  <c r="K38" i="8"/>
  <c r="K40" i="8" s="1"/>
  <c r="D38" i="8"/>
  <c r="D40" i="8" s="1"/>
  <c r="L38" i="8"/>
  <c r="L40" i="8" s="1"/>
  <c r="I38" i="8"/>
  <c r="I40" i="8" s="1"/>
  <c r="M38" i="8"/>
  <c r="M40" i="8" s="1"/>
  <c r="J38" i="8"/>
  <c r="J40" i="8" s="1"/>
  <c r="E18" i="7"/>
  <c r="D18" i="7"/>
  <c r="F19" i="7" s="1"/>
  <c r="G19" i="7" s="1"/>
  <c r="H19" i="7" s="1"/>
  <c r="L6" i="5"/>
  <c r="I7" i="5"/>
  <c r="H38" i="5"/>
  <c r="N5" i="5"/>
  <c r="G38" i="5"/>
  <c r="C7" i="4"/>
  <c r="E8" i="4" s="1"/>
  <c r="F8" i="4" s="1"/>
  <c r="G7" i="4"/>
  <c r="C6" i="3"/>
  <c r="D7" i="3" s="1"/>
  <c r="E7" i="3" s="1"/>
  <c r="F7" i="3" s="1"/>
  <c r="E6" i="3"/>
  <c r="D6" i="3"/>
  <c r="C5" i="3"/>
  <c r="C19" i="7" l="1"/>
  <c r="O6" i="5"/>
  <c r="J8" i="5"/>
  <c r="I38" i="5"/>
  <c r="M7" i="5"/>
  <c r="C8" i="4"/>
  <c r="G8" i="4"/>
  <c r="D8" i="4"/>
  <c r="C7" i="3"/>
  <c r="D8" i="3" s="1"/>
  <c r="D19" i="7" l="1"/>
  <c r="F20" i="7" s="1"/>
  <c r="G20" i="7" s="1"/>
  <c r="H20" i="7" s="1"/>
  <c r="E19" i="7"/>
  <c r="N8" i="5"/>
  <c r="K9" i="5"/>
  <c r="J38" i="5"/>
  <c r="E9" i="4"/>
  <c r="F9" i="4" s="1"/>
  <c r="E8" i="3"/>
  <c r="C20" i="7" l="1"/>
  <c r="L10" i="5"/>
  <c r="K38" i="5"/>
  <c r="O9" i="5"/>
  <c r="C9" i="4"/>
  <c r="G9" i="4"/>
  <c r="D9" i="4"/>
  <c r="C8" i="3"/>
  <c r="D9" i="3" s="1"/>
  <c r="E9" i="3" s="1"/>
  <c r="F8" i="3"/>
  <c r="D20" i="7" l="1"/>
  <c r="F21" i="7" s="1"/>
  <c r="G21" i="7" s="1"/>
  <c r="H21" i="7" s="1"/>
  <c r="E20" i="7"/>
  <c r="M11" i="5"/>
  <c r="L38" i="5"/>
  <c r="E10" i="4"/>
  <c r="F10" i="4" s="1"/>
  <c r="G10" i="4" s="1"/>
  <c r="C9" i="3"/>
  <c r="D10" i="3" s="1"/>
  <c r="E10" i="3" s="1"/>
  <c r="F9" i="3"/>
  <c r="C21" i="7" l="1"/>
  <c r="E21" i="7" s="1"/>
  <c r="N12" i="5"/>
  <c r="M38" i="5"/>
  <c r="D10" i="4"/>
  <c r="C10" i="4"/>
  <c r="C10" i="3"/>
  <c r="D11" i="3" s="1"/>
  <c r="E11" i="3" s="1"/>
  <c r="F10" i="3"/>
  <c r="D21" i="7" l="1"/>
  <c r="C22" i="7" s="1"/>
  <c r="E22" i="7" s="1"/>
  <c r="O13" i="5"/>
  <c r="O38" i="5" s="1"/>
  <c r="N38" i="5"/>
  <c r="E11" i="4"/>
  <c r="F11" i="4" s="1"/>
  <c r="D11" i="4" s="1"/>
  <c r="C11" i="3"/>
  <c r="D12" i="3" s="1"/>
  <c r="E12" i="3" s="1"/>
  <c r="F11" i="3"/>
  <c r="D22" i="7" l="1"/>
  <c r="C23" i="7" s="1"/>
  <c r="D23" i="7" s="1"/>
  <c r="F24" i="7" s="1"/>
  <c r="G24" i="7" s="1"/>
  <c r="H24" i="7" s="1"/>
  <c r="F22" i="7"/>
  <c r="G22" i="7" s="1"/>
  <c r="H22" i="7" s="1"/>
  <c r="C11" i="4"/>
  <c r="E12" i="4" s="1"/>
  <c r="F12" i="4" s="1"/>
  <c r="D12" i="4" s="1"/>
  <c r="G11" i="4"/>
  <c r="C12" i="3"/>
  <c r="D13" i="3" s="1"/>
  <c r="E13" i="3" s="1"/>
  <c r="F12" i="3"/>
  <c r="E23" i="7" l="1"/>
  <c r="F23" i="7"/>
  <c r="G23" i="7" s="1"/>
  <c r="H23" i="7" s="1"/>
  <c r="C24" i="7"/>
  <c r="E24" i="7" s="1"/>
  <c r="C12" i="4"/>
  <c r="E13" i="4" s="1"/>
  <c r="F13" i="4" s="1"/>
  <c r="D13" i="4" s="1"/>
  <c r="G12" i="4"/>
  <c r="C13" i="3"/>
  <c r="D14" i="3" s="1"/>
  <c r="E14" i="3" s="1"/>
  <c r="F13" i="3"/>
  <c r="D24" i="7" l="1"/>
  <c r="C13" i="4"/>
  <c r="E14" i="4" s="1"/>
  <c r="F14" i="4" s="1"/>
  <c r="G13" i="4"/>
  <c r="C14" i="3"/>
  <c r="D15" i="3" s="1"/>
  <c r="E15" i="3" s="1"/>
  <c r="F15" i="3" s="1"/>
  <c r="F14" i="3"/>
  <c r="F25" i="7" l="1"/>
  <c r="G25" i="7" s="1"/>
  <c r="H25" i="7" s="1"/>
  <c r="C25" i="7"/>
  <c r="C14" i="4"/>
  <c r="D14" i="4"/>
  <c r="G14" i="4"/>
  <c r="C15" i="3"/>
  <c r="D16" i="3" s="1"/>
  <c r="E16" i="3" s="1"/>
  <c r="E25" i="7" l="1"/>
  <c r="D25" i="7"/>
  <c r="E15" i="4"/>
  <c r="F15" i="4" s="1"/>
  <c r="G15" i="4" s="1"/>
  <c r="C16" i="3"/>
  <c r="D17" i="3" s="1"/>
  <c r="E17" i="3" s="1"/>
  <c r="F16" i="3"/>
  <c r="C26" i="7" l="1"/>
  <c r="F26" i="7"/>
  <c r="G26" i="7" s="1"/>
  <c r="H26" i="7" s="1"/>
  <c r="D15" i="4"/>
  <c r="C15" i="4"/>
  <c r="C17" i="3"/>
  <c r="D18" i="3" s="1"/>
  <c r="E18" i="3" s="1"/>
  <c r="F17" i="3"/>
  <c r="D26" i="7" l="1"/>
  <c r="F27" i="7" s="1"/>
  <c r="G27" i="7" s="1"/>
  <c r="H27" i="7" s="1"/>
  <c r="E26" i="7"/>
  <c r="E16" i="4"/>
  <c r="F16" i="4" s="1"/>
  <c r="G16" i="4" s="1"/>
  <c r="C18" i="3"/>
  <c r="D19" i="3" s="1"/>
  <c r="E19" i="3" s="1"/>
  <c r="F18" i="3"/>
  <c r="C27" i="7" l="1"/>
  <c r="E27" i="7" s="1"/>
  <c r="C16" i="4"/>
  <c r="D16" i="4"/>
  <c r="C19" i="3"/>
  <c r="D20" i="3" s="1"/>
  <c r="E20" i="3" s="1"/>
  <c r="F19" i="3"/>
  <c r="D27" i="7" l="1"/>
  <c r="C28" i="7" s="1"/>
  <c r="E28" i="7" s="1"/>
  <c r="E17" i="4"/>
  <c r="F17" i="4" s="1"/>
  <c r="D17" i="4" s="1"/>
  <c r="C20" i="3"/>
  <c r="D21" i="3" s="1"/>
  <c r="E21" i="3" s="1"/>
  <c r="F20" i="3"/>
  <c r="D28" i="7" l="1"/>
  <c r="F29" i="7" s="1"/>
  <c r="G29" i="7" s="1"/>
  <c r="H29" i="7" s="1"/>
  <c r="F28" i="7"/>
  <c r="G28" i="7" s="1"/>
  <c r="H28" i="7" s="1"/>
  <c r="C17" i="4"/>
  <c r="E18" i="4" s="1"/>
  <c r="F18" i="4" s="1"/>
  <c r="G17" i="4"/>
  <c r="C21" i="3"/>
  <c r="D22" i="3" s="1"/>
  <c r="E22" i="3" s="1"/>
  <c r="F21" i="3"/>
  <c r="C29" i="7" l="1"/>
  <c r="D29" i="7" s="1"/>
  <c r="F30" i="7" s="1"/>
  <c r="G30" i="7" s="1"/>
  <c r="H30" i="7" s="1"/>
  <c r="D18" i="4"/>
  <c r="G18" i="4"/>
  <c r="C18" i="4"/>
  <c r="C22" i="3"/>
  <c r="D23" i="3" s="1"/>
  <c r="E23" i="3" s="1"/>
  <c r="F22" i="3"/>
  <c r="E29" i="7" l="1"/>
  <c r="C30" i="7"/>
  <c r="D30" i="7" s="1"/>
  <c r="F31" i="7" s="1"/>
  <c r="G31" i="7" s="1"/>
  <c r="H31" i="7" s="1"/>
  <c r="E19" i="4"/>
  <c r="F19" i="4" s="1"/>
  <c r="C23" i="3"/>
  <c r="D24" i="3" s="1"/>
  <c r="E24" i="3" s="1"/>
  <c r="F23" i="3"/>
  <c r="E30" i="7" l="1"/>
  <c r="C31" i="7"/>
  <c r="E31" i="7" s="1"/>
  <c r="D19" i="4"/>
  <c r="G19" i="4"/>
  <c r="C19" i="4"/>
  <c r="C24" i="3"/>
  <c r="D25" i="3" s="1"/>
  <c r="E25" i="3" s="1"/>
  <c r="F24" i="3"/>
  <c r="D31" i="7" l="1"/>
  <c r="F32" i="7" s="1"/>
  <c r="G32" i="7" s="1"/>
  <c r="H32" i="7" s="1"/>
  <c r="E20" i="4"/>
  <c r="F20" i="4" s="1"/>
  <c r="C25" i="3"/>
  <c r="D26" i="3" s="1"/>
  <c r="E26" i="3" s="1"/>
  <c r="F25" i="3"/>
  <c r="C32" i="7" l="1"/>
  <c r="D32" i="7" s="1"/>
  <c r="F33" i="7" s="1"/>
  <c r="G33" i="7" s="1"/>
  <c r="H33" i="7" s="1"/>
  <c r="D20" i="4"/>
  <c r="G20" i="4"/>
  <c r="C20" i="4"/>
  <c r="C26" i="3"/>
  <c r="D27" i="3" s="1"/>
  <c r="E27" i="3" s="1"/>
  <c r="F26" i="3"/>
  <c r="E32" i="7" l="1"/>
  <c r="C33" i="7"/>
  <c r="E33" i="7" s="1"/>
  <c r="E21" i="4"/>
  <c r="F21" i="4" s="1"/>
  <c r="C27" i="3"/>
  <c r="D28" i="3" s="1"/>
  <c r="E28" i="3" s="1"/>
  <c r="F27" i="3"/>
  <c r="D33" i="7" l="1"/>
  <c r="F34" i="7" s="1"/>
  <c r="G34" i="7" s="1"/>
  <c r="H34" i="7" s="1"/>
  <c r="D21" i="4"/>
  <c r="G21" i="4"/>
  <c r="C21" i="4"/>
  <c r="C28" i="3"/>
  <c r="D29" i="3" s="1"/>
  <c r="E29" i="3" s="1"/>
  <c r="F28" i="3"/>
  <c r="C34" i="7" l="1"/>
  <c r="E34" i="7" s="1"/>
  <c r="E22" i="4"/>
  <c r="F22" i="4" s="1"/>
  <c r="C29" i="3"/>
  <c r="D30" i="3" s="1"/>
  <c r="E30" i="3" s="1"/>
  <c r="F29" i="3"/>
  <c r="D34" i="7" l="1"/>
  <c r="F35" i="7" s="1"/>
  <c r="G35" i="7" s="1"/>
  <c r="H35" i="7" s="1"/>
  <c r="D22" i="4"/>
  <c r="G22" i="4"/>
  <c r="C22" i="4"/>
  <c r="C30" i="3"/>
  <c r="D31" i="3" s="1"/>
  <c r="E31" i="3" s="1"/>
  <c r="F30" i="3"/>
  <c r="C35" i="7" l="1"/>
  <c r="E35" i="7" s="1"/>
  <c r="E23" i="4"/>
  <c r="F23" i="4" s="1"/>
  <c r="G23" i="4" s="1"/>
  <c r="C31" i="3"/>
  <c r="D32" i="3" s="1"/>
  <c r="E32" i="3" s="1"/>
  <c r="F31" i="3"/>
  <c r="D35" i="7" l="1"/>
  <c r="F36" i="7" s="1"/>
  <c r="G36" i="7" s="1"/>
  <c r="H36" i="7" s="1"/>
  <c r="C23" i="4"/>
  <c r="D23" i="4"/>
  <c r="C32" i="3"/>
  <c r="D33" i="3" s="1"/>
  <c r="E33" i="3" s="1"/>
  <c r="F32" i="3"/>
  <c r="C36" i="7" l="1"/>
  <c r="E36" i="7" s="1"/>
  <c r="E24" i="4"/>
  <c r="F24" i="4" s="1"/>
  <c r="D24" i="4" s="1"/>
  <c r="C33" i="3"/>
  <c r="D34" i="3" s="1"/>
  <c r="E34" i="3" s="1"/>
  <c r="F33" i="3"/>
  <c r="D36" i="7" l="1"/>
  <c r="C37" i="7" s="1"/>
  <c r="E37" i="7" s="1"/>
  <c r="C24" i="4"/>
  <c r="E25" i="4" s="1"/>
  <c r="F25" i="4" s="1"/>
  <c r="G24" i="4"/>
  <c r="C34" i="3"/>
  <c r="D35" i="3" s="1"/>
  <c r="E35" i="3" s="1"/>
  <c r="F34" i="3"/>
  <c r="F37" i="7" l="1"/>
  <c r="G37" i="7" s="1"/>
  <c r="H37" i="7" s="1"/>
  <c r="D37" i="7"/>
  <c r="F38" i="7" s="1"/>
  <c r="G38" i="7" s="1"/>
  <c r="H38" i="7" s="1"/>
  <c r="D25" i="4"/>
  <c r="G25" i="4"/>
  <c r="C25" i="4"/>
  <c r="C35" i="3"/>
  <c r="D36" i="3" s="1"/>
  <c r="E36" i="3" s="1"/>
  <c r="F35" i="3"/>
  <c r="C38" i="7" l="1"/>
  <c r="E38" i="7" s="1"/>
  <c r="E26" i="4"/>
  <c r="F26" i="4" s="1"/>
  <c r="C36" i="3"/>
  <c r="D37" i="3" s="1"/>
  <c r="E37" i="3" s="1"/>
  <c r="F36" i="3"/>
  <c r="D38" i="7" l="1"/>
  <c r="F39" i="7" s="1"/>
  <c r="G39" i="7" s="1"/>
  <c r="H39" i="7" s="1"/>
  <c r="D26" i="4"/>
  <c r="G26" i="4"/>
  <c r="C26" i="4"/>
  <c r="C37" i="3"/>
  <c r="D38" i="3" s="1"/>
  <c r="E38" i="3" s="1"/>
  <c r="F37" i="3"/>
  <c r="C39" i="7" l="1"/>
  <c r="E39" i="7" s="1"/>
  <c r="E27" i="4"/>
  <c r="F27" i="4" s="1"/>
  <c r="C38" i="3"/>
  <c r="D39" i="3" s="1"/>
  <c r="E39" i="3" s="1"/>
  <c r="F38" i="3"/>
  <c r="D39" i="7" l="1"/>
  <c r="F40" i="7" s="1"/>
  <c r="G40" i="7" s="1"/>
  <c r="H40" i="7" s="1"/>
  <c r="D27" i="4"/>
  <c r="G27" i="4"/>
  <c r="C27" i="4"/>
  <c r="C39" i="3"/>
  <c r="D40" i="3" s="1"/>
  <c r="E40" i="3" s="1"/>
  <c r="F39" i="3"/>
  <c r="C40" i="7" l="1"/>
  <c r="E40" i="7" s="1"/>
  <c r="E28" i="4"/>
  <c r="F28" i="4" s="1"/>
  <c r="C28" i="4" s="1"/>
  <c r="C40" i="3"/>
  <c r="D41" i="3" s="1"/>
  <c r="E41" i="3" s="1"/>
  <c r="F40" i="3"/>
  <c r="D40" i="7" l="1"/>
  <c r="F41" i="7" s="1"/>
  <c r="G41" i="7" s="1"/>
  <c r="H41" i="7" s="1"/>
  <c r="G28" i="4"/>
  <c r="D28" i="4"/>
  <c r="E29" i="4" s="1"/>
  <c r="F29" i="4" s="1"/>
  <c r="C41" i="3"/>
  <c r="B53" i="3" s="1"/>
  <c r="F41" i="3"/>
  <c r="E2" i="3" s="1"/>
  <c r="F2" i="3" s="1"/>
  <c r="C41" i="7" l="1"/>
  <c r="E41" i="7" s="1"/>
  <c r="C29" i="4"/>
  <c r="G29" i="4"/>
  <c r="D29" i="4"/>
  <c r="B43" i="3"/>
  <c r="B49" i="3"/>
  <c r="B42" i="3"/>
  <c r="B51" i="3"/>
  <c r="B52" i="3"/>
  <c r="B50" i="3"/>
  <c r="B45" i="3"/>
  <c r="B46" i="3"/>
  <c r="B44" i="3"/>
  <c r="B47" i="3"/>
  <c r="B48" i="3"/>
  <c r="D41" i="7" l="1"/>
  <c r="F42" i="7" s="1"/>
  <c r="G42" i="7" s="1"/>
  <c r="H42" i="7" s="1"/>
  <c r="E30" i="4"/>
  <c r="F30" i="4" s="1"/>
  <c r="G30" i="4" s="1"/>
  <c r="C42" i="7" l="1"/>
  <c r="D42" i="7" s="1"/>
  <c r="F43" i="7" s="1"/>
  <c r="G43" i="7" s="1"/>
  <c r="H43" i="7" s="1"/>
  <c r="C30" i="4"/>
  <c r="D30" i="4"/>
  <c r="C43" i="7" l="1"/>
  <c r="D43" i="7" s="1"/>
  <c r="C44" i="7" s="1"/>
  <c r="E42" i="7"/>
  <c r="E31" i="4"/>
  <c r="F31" i="4" s="1"/>
  <c r="C31" i="4" s="1"/>
  <c r="E43" i="7" l="1"/>
  <c r="F44" i="7"/>
  <c r="G44" i="7" s="1"/>
  <c r="H44" i="7" s="1"/>
  <c r="E44" i="7"/>
  <c r="D44" i="7"/>
  <c r="F45" i="7" s="1"/>
  <c r="G45" i="7" s="1"/>
  <c r="H45" i="7" s="1"/>
  <c r="D31" i="4"/>
  <c r="E32" i="4" s="1"/>
  <c r="F32" i="4" s="1"/>
  <c r="G31" i="4"/>
  <c r="C45" i="7" l="1"/>
  <c r="D45" i="7" s="1"/>
  <c r="C46" i="7" s="1"/>
  <c r="D32" i="4"/>
  <c r="G32" i="4"/>
  <c r="C32" i="4"/>
  <c r="E45" i="7" l="1"/>
  <c r="F46" i="7"/>
  <c r="G46" i="7" s="1"/>
  <c r="H46" i="7" s="1"/>
  <c r="E46" i="7"/>
  <c r="D46" i="7"/>
  <c r="C47" i="7" s="1"/>
  <c r="E33" i="4"/>
  <c r="F33" i="4" s="1"/>
  <c r="C33" i="4" s="1"/>
  <c r="F47" i="7" l="1"/>
  <c r="G47" i="7" s="1"/>
  <c r="H47" i="7" s="1"/>
  <c r="D47" i="7"/>
  <c r="F48" i="7" s="1"/>
  <c r="G48" i="7" s="1"/>
  <c r="H48" i="7" s="1"/>
  <c r="E47" i="7"/>
  <c r="D33" i="4"/>
  <c r="E34" i="4" s="1"/>
  <c r="F34" i="4" s="1"/>
  <c r="D34" i="4" s="1"/>
  <c r="G33" i="4"/>
  <c r="C48" i="7" l="1"/>
  <c r="E48" i="7" s="1"/>
  <c r="G34" i="4"/>
  <c r="C34" i="4"/>
  <c r="E35" i="4" s="1"/>
  <c r="F35" i="4" s="1"/>
  <c r="D48" i="7" l="1"/>
  <c r="F49" i="7" s="1"/>
  <c r="G49" i="7" s="1"/>
  <c r="H49" i="7" s="1"/>
  <c r="D35" i="4"/>
  <c r="G35" i="4"/>
  <c r="C35" i="4"/>
  <c r="C49" i="7" l="1"/>
  <c r="E49" i="7" s="1"/>
  <c r="E36" i="4"/>
  <c r="F36" i="4" s="1"/>
  <c r="G36" i="4" s="1"/>
  <c r="D49" i="7" l="1"/>
  <c r="F50" i="7" s="1"/>
  <c r="G50" i="7" s="1"/>
  <c r="H50" i="7" s="1"/>
  <c r="D36" i="4"/>
  <c r="C36" i="4"/>
  <c r="C50" i="7" l="1"/>
  <c r="D50" i="7" s="1"/>
  <c r="F51" i="7" s="1"/>
  <c r="G51" i="7" s="1"/>
  <c r="H51" i="7" s="1"/>
  <c r="E37" i="4"/>
  <c r="F37" i="4" s="1"/>
  <c r="C37" i="4" s="1"/>
  <c r="C51" i="7" l="1"/>
  <c r="E51" i="7" s="1"/>
  <c r="E50" i="7"/>
  <c r="D37" i="4"/>
  <c r="E38" i="4" s="1"/>
  <c r="F38" i="4" s="1"/>
  <c r="G38" i="4" s="1"/>
  <c r="G37" i="4"/>
  <c r="D51" i="7" l="1"/>
  <c r="C52" i="7" s="1"/>
  <c r="D38" i="4"/>
  <c r="C38" i="4"/>
  <c r="F52" i="7" l="1"/>
  <c r="G52" i="7" s="1"/>
  <c r="H52" i="7" s="1"/>
  <c r="G2" i="7" s="1"/>
  <c r="H2" i="7" s="1"/>
  <c r="E52" i="7"/>
  <c r="D52" i="7"/>
  <c r="B61" i="7" s="1"/>
  <c r="E39" i="4"/>
  <c r="F39" i="4" s="1"/>
  <c r="G39" i="4" s="1"/>
  <c r="B54" i="7" l="1"/>
  <c r="B59" i="7"/>
  <c r="B64" i="7"/>
  <c r="B57" i="7"/>
  <c r="B56" i="7"/>
  <c r="B60" i="7"/>
  <c r="B55" i="7"/>
  <c r="B58" i="7"/>
  <c r="B63" i="7"/>
  <c r="B62" i="7"/>
  <c r="B53" i="7"/>
  <c r="D39" i="4"/>
  <c r="C39" i="4"/>
  <c r="E40" i="4" l="1"/>
  <c r="F40" i="4" s="1"/>
  <c r="G40" i="4" s="1"/>
  <c r="C40" i="4" l="1"/>
  <c r="D40" i="4"/>
  <c r="E41" i="4" l="1"/>
  <c r="F41" i="4" s="1"/>
  <c r="G41" i="4" s="1"/>
  <c r="F2" i="4" s="1"/>
  <c r="G2" i="4" s="1"/>
  <c r="C41" i="4" l="1"/>
  <c r="D41" i="4"/>
  <c r="B42" i="4" l="1"/>
  <c r="B44" i="4"/>
  <c r="B53" i="4"/>
  <c r="B46" i="4"/>
  <c r="B52" i="4"/>
  <c r="B43" i="4"/>
  <c r="B51" i="4"/>
  <c r="B50" i="4"/>
  <c r="B45" i="4"/>
  <c r="B47" i="4"/>
  <c r="B49" i="4"/>
  <c r="B48" i="4"/>
</calcChain>
</file>

<file path=xl/sharedStrings.xml><?xml version="1.0" encoding="utf-8"?>
<sst xmlns="http://schemas.openxmlformats.org/spreadsheetml/2006/main" count="62" uniqueCount="32">
  <si>
    <t>Demand</t>
  </si>
  <si>
    <t>t</t>
  </si>
  <si>
    <t>Total Months</t>
  </si>
  <si>
    <t>Level smoothing parameter (alpha)</t>
  </si>
  <si>
    <t>SSE</t>
  </si>
  <si>
    <t>Standard Error</t>
  </si>
  <si>
    <t>Level Estimate</t>
  </si>
  <si>
    <t>One-step Forecast</t>
  </si>
  <si>
    <t>Forecast Error</t>
  </si>
  <si>
    <t>Squared Error</t>
  </si>
  <si>
    <t>Total months</t>
  </si>
  <si>
    <t>Trend smoothing parameter (gamma)</t>
  </si>
  <si>
    <t>Actual Demand</t>
  </si>
  <si>
    <t>Level</t>
  </si>
  <si>
    <t>Trend</t>
  </si>
  <si>
    <t>One-step error</t>
  </si>
  <si>
    <t>Deviations from mean</t>
  </si>
  <si>
    <t>Smoothed</t>
  </si>
  <si>
    <t>Seasonal Factor Estimate</t>
  </si>
  <si>
    <t>Initial Seasonal Factors</t>
  </si>
  <si>
    <t>% Skew</t>
  </si>
  <si>
    <t>Initial Seasonal Factors x3</t>
  </si>
  <si>
    <t>Deseasonalized Data</t>
  </si>
  <si>
    <t>Seasonal smoothing parameter (delta)</t>
  </si>
  <si>
    <t>Seasonal Adjustment</t>
  </si>
  <si>
    <t>Slope</t>
    <phoneticPr fontId="4" type="noConversion"/>
  </si>
  <si>
    <t>Slope Standard Error</t>
    <phoneticPr fontId="4" type="noConversion"/>
  </si>
  <si>
    <t>Degree of freedom</t>
    <phoneticPr fontId="4" type="noConversion"/>
  </si>
  <si>
    <t>p-value</t>
    <phoneticPr fontId="4" type="noConversion"/>
  </si>
  <si>
    <t>Autocorrelation</t>
    <phoneticPr fontId="4" type="noConversion"/>
  </si>
  <si>
    <t>upper cutoff</t>
    <phoneticPr fontId="4" type="noConversion"/>
  </si>
  <si>
    <t>lower cutoff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</si>
</sst>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000"/>
  </numFmts>
  <fonts count="8" x14ac:knownFonts="1">
    <font>
      <sz val="12"/>
      <color theme="1"/>
      <name val="맑은 고딕"/>
      <family val="2"/>
      <scheme val="minor"/>
    </font>
    <font>
      <u/>
      <sz val="12"/>
      <color theme="10"/>
      <name val="맑은 고딕"/>
      <family val="2"/>
      <scheme val="minor"/>
    </font>
    <font>
      <u/>
      <sz val="12"/>
      <color theme="11"/>
      <name val="맑은 고딕"/>
      <family val="2"/>
      <scheme val="minor"/>
    </font>
    <font>
      <b/>
      <sz val="12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2"/>
      <name val="맑은 고딕"/>
      <family val="2"/>
      <scheme val="minor"/>
    </font>
    <font>
      <b/>
      <i/>
      <sz val="12"/>
      <color rgb="FFFF6600"/>
      <name val="맑은 고딕"/>
      <family val="2"/>
      <scheme val="minor"/>
    </font>
    <font>
      <sz val="12"/>
      <color theme="1"/>
      <name val="맑은 고딕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</fills>
  <borders count="8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4364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9" fontId="7" fillId="0" borderId="0" applyFont="0" applyFill="0" applyBorder="0" applyAlignment="0" applyProtection="0">
      <alignment vertical="center"/>
    </xf>
  </cellStyleXfs>
  <cellXfs count="26">
    <xf numFmtId="0" fontId="0" fillId="0" borderId="0" xfId="0"/>
    <xf numFmtId="0" fontId="0" fillId="0" borderId="0" xfId="0" applyBorder="1"/>
    <xf numFmtId="0" fontId="3" fillId="0" borderId="3" xfId="0" applyFont="1" applyBorder="1"/>
    <xf numFmtId="0" fontId="3" fillId="0" borderId="4" xfId="0" applyFont="1" applyBorder="1"/>
    <xf numFmtId="0" fontId="0" fillId="0" borderId="5" xfId="0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0" fillId="0" borderId="6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0" xfId="0" applyAlignment="1">
      <alignment wrapText="1"/>
    </xf>
    <xf numFmtId="0" fontId="5" fillId="0" borderId="0" xfId="0" applyFont="1" applyAlignment="1">
      <alignment wrapText="1"/>
    </xf>
    <xf numFmtId="2" fontId="0" fillId="0" borderId="0" xfId="0" applyNumberFormat="1"/>
    <xf numFmtId="2" fontId="5" fillId="0" borderId="0" xfId="0" applyNumberFormat="1" applyFont="1"/>
    <xf numFmtId="0" fontId="0" fillId="2" borderId="0" xfId="0" applyFill="1" applyAlignment="1">
      <alignment wrapText="1"/>
    </xf>
    <xf numFmtId="0" fontId="5" fillId="0" borderId="0" xfId="0" applyFont="1"/>
    <xf numFmtId="0" fontId="0" fillId="3" borderId="0" xfId="0" applyFill="1"/>
    <xf numFmtId="0" fontId="6" fillId="3" borderId="0" xfId="0" applyFont="1" applyFill="1"/>
    <xf numFmtId="0" fontId="0" fillId="3" borderId="0" xfId="0" applyFill="1" applyAlignment="1">
      <alignment wrapText="1"/>
    </xf>
    <xf numFmtId="0" fontId="5" fillId="3" borderId="0" xfId="0" applyFont="1" applyFill="1"/>
    <xf numFmtId="0" fontId="0" fillId="0" borderId="7" xfId="0" applyBorder="1"/>
    <xf numFmtId="0" fontId="0" fillId="4" borderId="0" xfId="0" applyFill="1"/>
    <xf numFmtId="9" fontId="0" fillId="0" borderId="0" xfId="4363" applyFont="1" applyAlignment="1"/>
    <xf numFmtId="0" fontId="0" fillId="0" borderId="0" xfId="0" applyFill="1"/>
    <xf numFmtId="176" fontId="0" fillId="3" borderId="0" xfId="0" applyNumberFormat="1" applyFill="1" applyBorder="1"/>
    <xf numFmtId="0" fontId="5" fillId="0" borderId="0" xfId="0" applyFont="1" applyFill="1"/>
    <xf numFmtId="2" fontId="6" fillId="3" borderId="0" xfId="0" applyNumberFormat="1" applyFont="1" applyFill="1"/>
  </cellXfs>
  <cellStyles count="4364">
    <cellStyle name="백분율" xfId="4363" builtinId="5"/>
    <cellStyle name="열어 본 하이퍼링크" xfId="2" builtinId="9" hidden="1"/>
    <cellStyle name="열어 본 하이퍼링크" xfId="4" builtinId="9" hidden="1"/>
    <cellStyle name="열어 본 하이퍼링크" xfId="6" builtinId="9" hidden="1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열어 본 하이퍼링크" xfId="116" builtinId="9" hidden="1"/>
    <cellStyle name="열어 본 하이퍼링크" xfId="118" builtinId="9" hidden="1"/>
    <cellStyle name="열어 본 하이퍼링크" xfId="120" builtinId="9" hidden="1"/>
    <cellStyle name="열어 본 하이퍼링크" xfId="122" builtinId="9" hidden="1"/>
    <cellStyle name="열어 본 하이퍼링크" xfId="124" builtinId="9" hidden="1"/>
    <cellStyle name="열어 본 하이퍼링크" xfId="126" builtinId="9" hidden="1"/>
    <cellStyle name="열어 본 하이퍼링크" xfId="128" builtinId="9" hidden="1"/>
    <cellStyle name="열어 본 하이퍼링크" xfId="130" builtinId="9" hidden="1"/>
    <cellStyle name="열어 본 하이퍼링크" xfId="132" builtinId="9" hidden="1"/>
    <cellStyle name="열어 본 하이퍼링크" xfId="134" builtinId="9" hidden="1"/>
    <cellStyle name="열어 본 하이퍼링크" xfId="136" builtinId="9" hidden="1"/>
    <cellStyle name="열어 본 하이퍼링크" xfId="138" builtinId="9" hidden="1"/>
    <cellStyle name="열어 본 하이퍼링크" xfId="140" builtinId="9" hidden="1"/>
    <cellStyle name="열어 본 하이퍼링크" xfId="142" builtinId="9" hidden="1"/>
    <cellStyle name="열어 본 하이퍼링크" xfId="144" builtinId="9" hidden="1"/>
    <cellStyle name="열어 본 하이퍼링크" xfId="146" builtinId="9" hidden="1"/>
    <cellStyle name="열어 본 하이퍼링크" xfId="148" builtinId="9" hidden="1"/>
    <cellStyle name="열어 본 하이퍼링크" xfId="150" builtinId="9" hidden="1"/>
    <cellStyle name="열어 본 하이퍼링크" xfId="152" builtinId="9" hidden="1"/>
    <cellStyle name="열어 본 하이퍼링크" xfId="154" builtinId="9" hidden="1"/>
    <cellStyle name="열어 본 하이퍼링크" xfId="156" builtinId="9" hidden="1"/>
    <cellStyle name="열어 본 하이퍼링크" xfId="158" builtinId="9" hidden="1"/>
    <cellStyle name="열어 본 하이퍼링크" xfId="160" builtinId="9" hidden="1"/>
    <cellStyle name="열어 본 하이퍼링크" xfId="162" builtinId="9" hidden="1"/>
    <cellStyle name="열어 본 하이퍼링크" xfId="164" builtinId="9" hidden="1"/>
    <cellStyle name="열어 본 하이퍼링크" xfId="166" builtinId="9" hidden="1"/>
    <cellStyle name="열어 본 하이퍼링크" xfId="168" builtinId="9" hidden="1"/>
    <cellStyle name="열어 본 하이퍼링크" xfId="170" builtinId="9" hidden="1"/>
    <cellStyle name="열어 본 하이퍼링크" xfId="172" builtinId="9" hidden="1"/>
    <cellStyle name="열어 본 하이퍼링크" xfId="174" builtinId="9" hidden="1"/>
    <cellStyle name="열어 본 하이퍼링크" xfId="176" builtinId="9" hidden="1"/>
    <cellStyle name="열어 본 하이퍼링크" xfId="178" builtinId="9" hidden="1"/>
    <cellStyle name="열어 본 하이퍼링크" xfId="180" builtinId="9" hidden="1"/>
    <cellStyle name="열어 본 하이퍼링크" xfId="182" builtinId="9" hidden="1"/>
    <cellStyle name="열어 본 하이퍼링크" xfId="184" builtinId="9" hidden="1"/>
    <cellStyle name="열어 본 하이퍼링크" xfId="186" builtinId="9" hidden="1"/>
    <cellStyle name="열어 본 하이퍼링크" xfId="188" builtinId="9" hidden="1"/>
    <cellStyle name="열어 본 하이퍼링크" xfId="190" builtinId="9" hidden="1"/>
    <cellStyle name="열어 본 하이퍼링크" xfId="192" builtinId="9" hidden="1"/>
    <cellStyle name="열어 본 하이퍼링크" xfId="194" builtinId="9" hidden="1"/>
    <cellStyle name="열어 본 하이퍼링크" xfId="196" builtinId="9" hidden="1"/>
    <cellStyle name="열어 본 하이퍼링크" xfId="198" builtinId="9" hidden="1"/>
    <cellStyle name="열어 본 하이퍼링크" xfId="200" builtinId="9" hidden="1"/>
    <cellStyle name="열어 본 하이퍼링크" xfId="202" builtinId="9" hidden="1"/>
    <cellStyle name="열어 본 하이퍼링크" xfId="204" builtinId="9" hidden="1"/>
    <cellStyle name="열어 본 하이퍼링크" xfId="206" builtinId="9" hidden="1"/>
    <cellStyle name="열어 본 하이퍼링크" xfId="208" builtinId="9" hidden="1"/>
    <cellStyle name="열어 본 하이퍼링크" xfId="210" builtinId="9" hidden="1"/>
    <cellStyle name="열어 본 하이퍼링크" xfId="212" builtinId="9" hidden="1"/>
    <cellStyle name="열어 본 하이퍼링크" xfId="214" builtinId="9" hidden="1"/>
    <cellStyle name="열어 본 하이퍼링크" xfId="216" builtinId="9" hidden="1"/>
    <cellStyle name="열어 본 하이퍼링크" xfId="218" builtinId="9" hidden="1"/>
    <cellStyle name="열어 본 하이퍼링크" xfId="220" builtinId="9" hidden="1"/>
    <cellStyle name="열어 본 하이퍼링크" xfId="222" builtinId="9" hidden="1"/>
    <cellStyle name="열어 본 하이퍼링크" xfId="224" builtinId="9" hidden="1"/>
    <cellStyle name="열어 본 하이퍼링크" xfId="226" builtinId="9" hidden="1"/>
    <cellStyle name="열어 본 하이퍼링크" xfId="228" builtinId="9" hidden="1"/>
    <cellStyle name="열어 본 하이퍼링크" xfId="230" builtinId="9" hidden="1"/>
    <cellStyle name="열어 본 하이퍼링크" xfId="232" builtinId="9" hidden="1"/>
    <cellStyle name="열어 본 하이퍼링크" xfId="234" builtinId="9" hidden="1"/>
    <cellStyle name="열어 본 하이퍼링크" xfId="236" builtinId="9" hidden="1"/>
    <cellStyle name="열어 본 하이퍼링크" xfId="238" builtinId="9" hidden="1"/>
    <cellStyle name="열어 본 하이퍼링크" xfId="240" builtinId="9" hidden="1"/>
    <cellStyle name="열어 본 하이퍼링크" xfId="242" builtinId="9" hidden="1"/>
    <cellStyle name="열어 본 하이퍼링크" xfId="244" builtinId="9" hidden="1"/>
    <cellStyle name="열어 본 하이퍼링크" xfId="246" builtinId="9" hidden="1"/>
    <cellStyle name="열어 본 하이퍼링크" xfId="248" builtinId="9" hidden="1"/>
    <cellStyle name="열어 본 하이퍼링크" xfId="250" builtinId="9" hidden="1"/>
    <cellStyle name="열어 본 하이퍼링크" xfId="252" builtinId="9" hidden="1"/>
    <cellStyle name="열어 본 하이퍼링크" xfId="254" builtinId="9" hidden="1"/>
    <cellStyle name="열어 본 하이퍼링크" xfId="256" builtinId="9" hidden="1"/>
    <cellStyle name="열어 본 하이퍼링크" xfId="258" builtinId="9" hidden="1"/>
    <cellStyle name="열어 본 하이퍼링크" xfId="260" builtinId="9" hidden="1"/>
    <cellStyle name="열어 본 하이퍼링크" xfId="262" builtinId="9" hidden="1"/>
    <cellStyle name="열어 본 하이퍼링크" xfId="264" builtinId="9" hidden="1"/>
    <cellStyle name="열어 본 하이퍼링크" xfId="266" builtinId="9" hidden="1"/>
    <cellStyle name="열어 본 하이퍼링크" xfId="268" builtinId="9" hidden="1"/>
    <cellStyle name="열어 본 하이퍼링크" xfId="270" builtinId="9" hidden="1"/>
    <cellStyle name="열어 본 하이퍼링크" xfId="272" builtinId="9" hidden="1"/>
    <cellStyle name="열어 본 하이퍼링크" xfId="274" builtinId="9" hidden="1"/>
    <cellStyle name="열어 본 하이퍼링크" xfId="276" builtinId="9" hidden="1"/>
    <cellStyle name="열어 본 하이퍼링크" xfId="278" builtinId="9" hidden="1"/>
    <cellStyle name="열어 본 하이퍼링크" xfId="280" builtinId="9" hidden="1"/>
    <cellStyle name="열어 본 하이퍼링크" xfId="282" builtinId="9" hidden="1"/>
    <cellStyle name="열어 본 하이퍼링크" xfId="284" builtinId="9" hidden="1"/>
    <cellStyle name="열어 본 하이퍼링크" xfId="286" builtinId="9" hidden="1"/>
    <cellStyle name="열어 본 하이퍼링크" xfId="288" builtinId="9" hidden="1"/>
    <cellStyle name="열어 본 하이퍼링크" xfId="290" builtinId="9" hidden="1"/>
    <cellStyle name="열어 본 하이퍼링크" xfId="292" builtinId="9" hidden="1"/>
    <cellStyle name="열어 본 하이퍼링크" xfId="294" builtinId="9" hidden="1"/>
    <cellStyle name="열어 본 하이퍼링크" xfId="296" builtinId="9" hidden="1"/>
    <cellStyle name="열어 본 하이퍼링크" xfId="298" builtinId="9" hidden="1"/>
    <cellStyle name="열어 본 하이퍼링크" xfId="300" builtinId="9" hidden="1"/>
    <cellStyle name="열어 본 하이퍼링크" xfId="302" builtinId="9" hidden="1"/>
    <cellStyle name="열어 본 하이퍼링크" xfId="304" builtinId="9" hidden="1"/>
    <cellStyle name="열어 본 하이퍼링크" xfId="306" builtinId="9" hidden="1"/>
    <cellStyle name="열어 본 하이퍼링크" xfId="308" builtinId="9" hidden="1"/>
    <cellStyle name="열어 본 하이퍼링크" xfId="310" builtinId="9" hidden="1"/>
    <cellStyle name="열어 본 하이퍼링크" xfId="312" builtinId="9" hidden="1"/>
    <cellStyle name="열어 본 하이퍼링크" xfId="314" builtinId="9" hidden="1"/>
    <cellStyle name="열어 본 하이퍼링크" xfId="316" builtinId="9" hidden="1"/>
    <cellStyle name="열어 본 하이퍼링크" xfId="318" builtinId="9" hidden="1"/>
    <cellStyle name="열어 본 하이퍼링크" xfId="320" builtinId="9" hidden="1"/>
    <cellStyle name="열어 본 하이퍼링크" xfId="322" builtinId="9" hidden="1"/>
    <cellStyle name="열어 본 하이퍼링크" xfId="324" builtinId="9" hidden="1"/>
    <cellStyle name="열어 본 하이퍼링크" xfId="326" builtinId="9" hidden="1"/>
    <cellStyle name="열어 본 하이퍼링크" xfId="328" builtinId="9" hidden="1"/>
    <cellStyle name="열어 본 하이퍼링크" xfId="330" builtinId="9" hidden="1"/>
    <cellStyle name="열어 본 하이퍼링크" xfId="332" builtinId="9" hidden="1"/>
    <cellStyle name="열어 본 하이퍼링크" xfId="334" builtinId="9" hidden="1"/>
    <cellStyle name="열어 본 하이퍼링크" xfId="336" builtinId="9" hidden="1"/>
    <cellStyle name="열어 본 하이퍼링크" xfId="338" builtinId="9" hidden="1"/>
    <cellStyle name="열어 본 하이퍼링크" xfId="340" builtinId="9" hidden="1"/>
    <cellStyle name="열어 본 하이퍼링크" xfId="342" builtinId="9" hidden="1"/>
    <cellStyle name="열어 본 하이퍼링크" xfId="344" builtinId="9" hidden="1"/>
    <cellStyle name="열어 본 하이퍼링크" xfId="346" builtinId="9" hidden="1"/>
    <cellStyle name="열어 본 하이퍼링크" xfId="348" builtinId="9" hidden="1"/>
    <cellStyle name="열어 본 하이퍼링크" xfId="350" builtinId="9" hidden="1"/>
    <cellStyle name="열어 본 하이퍼링크" xfId="352" builtinId="9" hidden="1"/>
    <cellStyle name="열어 본 하이퍼링크" xfId="354" builtinId="9" hidden="1"/>
    <cellStyle name="열어 본 하이퍼링크" xfId="356" builtinId="9" hidden="1"/>
    <cellStyle name="열어 본 하이퍼링크" xfId="358" builtinId="9" hidden="1"/>
    <cellStyle name="열어 본 하이퍼링크" xfId="360" builtinId="9" hidden="1"/>
    <cellStyle name="열어 본 하이퍼링크" xfId="362" builtinId="9" hidden="1"/>
    <cellStyle name="열어 본 하이퍼링크" xfId="364" builtinId="9" hidden="1"/>
    <cellStyle name="열어 본 하이퍼링크" xfId="366" builtinId="9" hidden="1"/>
    <cellStyle name="열어 본 하이퍼링크" xfId="368" builtinId="9" hidden="1"/>
    <cellStyle name="열어 본 하이퍼링크" xfId="370" builtinId="9" hidden="1"/>
    <cellStyle name="열어 본 하이퍼링크" xfId="372" builtinId="9" hidden="1"/>
    <cellStyle name="열어 본 하이퍼링크" xfId="374" builtinId="9" hidden="1"/>
    <cellStyle name="열어 본 하이퍼링크" xfId="376" builtinId="9" hidden="1"/>
    <cellStyle name="열어 본 하이퍼링크" xfId="378" builtinId="9" hidden="1"/>
    <cellStyle name="열어 본 하이퍼링크" xfId="380" builtinId="9" hidden="1"/>
    <cellStyle name="열어 본 하이퍼링크" xfId="382" builtinId="9" hidden="1"/>
    <cellStyle name="열어 본 하이퍼링크" xfId="384" builtinId="9" hidden="1"/>
    <cellStyle name="열어 본 하이퍼링크" xfId="386" builtinId="9" hidden="1"/>
    <cellStyle name="열어 본 하이퍼링크" xfId="388" builtinId="9" hidden="1"/>
    <cellStyle name="열어 본 하이퍼링크" xfId="390" builtinId="9" hidden="1"/>
    <cellStyle name="열어 본 하이퍼링크" xfId="392" builtinId="9" hidden="1"/>
    <cellStyle name="열어 본 하이퍼링크" xfId="394" builtinId="9" hidden="1"/>
    <cellStyle name="열어 본 하이퍼링크" xfId="396" builtinId="9" hidden="1"/>
    <cellStyle name="열어 본 하이퍼링크" xfId="398" builtinId="9" hidden="1"/>
    <cellStyle name="열어 본 하이퍼링크" xfId="400" builtinId="9" hidden="1"/>
    <cellStyle name="열어 본 하이퍼링크" xfId="402" builtinId="9" hidden="1"/>
    <cellStyle name="열어 본 하이퍼링크" xfId="404" builtinId="9" hidden="1"/>
    <cellStyle name="열어 본 하이퍼링크" xfId="406" builtinId="9" hidden="1"/>
    <cellStyle name="열어 본 하이퍼링크" xfId="408" builtinId="9" hidden="1"/>
    <cellStyle name="열어 본 하이퍼링크" xfId="410" builtinId="9" hidden="1"/>
    <cellStyle name="열어 본 하이퍼링크" xfId="412" builtinId="9" hidden="1"/>
    <cellStyle name="열어 본 하이퍼링크" xfId="414" builtinId="9" hidden="1"/>
    <cellStyle name="열어 본 하이퍼링크" xfId="416" builtinId="9" hidden="1"/>
    <cellStyle name="열어 본 하이퍼링크" xfId="418" builtinId="9" hidden="1"/>
    <cellStyle name="열어 본 하이퍼링크" xfId="420" builtinId="9" hidden="1"/>
    <cellStyle name="열어 본 하이퍼링크" xfId="422" builtinId="9" hidden="1"/>
    <cellStyle name="열어 본 하이퍼링크" xfId="424" builtinId="9" hidden="1"/>
    <cellStyle name="열어 본 하이퍼링크" xfId="426" builtinId="9" hidden="1"/>
    <cellStyle name="열어 본 하이퍼링크" xfId="428" builtinId="9" hidden="1"/>
    <cellStyle name="열어 본 하이퍼링크" xfId="430" builtinId="9" hidden="1"/>
    <cellStyle name="열어 본 하이퍼링크" xfId="432" builtinId="9" hidden="1"/>
    <cellStyle name="열어 본 하이퍼링크" xfId="434" builtinId="9" hidden="1"/>
    <cellStyle name="열어 본 하이퍼링크" xfId="436" builtinId="9" hidden="1"/>
    <cellStyle name="열어 본 하이퍼링크" xfId="438" builtinId="9" hidden="1"/>
    <cellStyle name="열어 본 하이퍼링크" xfId="440" builtinId="9" hidden="1"/>
    <cellStyle name="열어 본 하이퍼링크" xfId="442" builtinId="9" hidden="1"/>
    <cellStyle name="열어 본 하이퍼링크" xfId="444" builtinId="9" hidden="1"/>
    <cellStyle name="열어 본 하이퍼링크" xfId="446" builtinId="9" hidden="1"/>
    <cellStyle name="열어 본 하이퍼링크" xfId="448" builtinId="9" hidden="1"/>
    <cellStyle name="열어 본 하이퍼링크" xfId="450" builtinId="9" hidden="1"/>
    <cellStyle name="열어 본 하이퍼링크" xfId="452" builtinId="9" hidden="1"/>
    <cellStyle name="열어 본 하이퍼링크" xfId="454" builtinId="9" hidden="1"/>
    <cellStyle name="열어 본 하이퍼링크" xfId="456" builtinId="9" hidden="1"/>
    <cellStyle name="열어 본 하이퍼링크" xfId="458" builtinId="9" hidden="1"/>
    <cellStyle name="열어 본 하이퍼링크" xfId="460" builtinId="9" hidden="1"/>
    <cellStyle name="열어 본 하이퍼링크" xfId="462" builtinId="9" hidden="1"/>
    <cellStyle name="열어 본 하이퍼링크" xfId="464" builtinId="9" hidden="1"/>
    <cellStyle name="열어 본 하이퍼링크" xfId="466" builtinId="9" hidden="1"/>
    <cellStyle name="열어 본 하이퍼링크" xfId="468" builtinId="9" hidden="1"/>
    <cellStyle name="열어 본 하이퍼링크" xfId="470" builtinId="9" hidden="1"/>
    <cellStyle name="열어 본 하이퍼링크" xfId="472" builtinId="9" hidden="1"/>
    <cellStyle name="열어 본 하이퍼링크" xfId="474" builtinId="9" hidden="1"/>
    <cellStyle name="열어 본 하이퍼링크" xfId="476" builtinId="9" hidden="1"/>
    <cellStyle name="열어 본 하이퍼링크" xfId="478" builtinId="9" hidden="1"/>
    <cellStyle name="열어 본 하이퍼링크" xfId="480" builtinId="9" hidden="1"/>
    <cellStyle name="열어 본 하이퍼링크" xfId="482" builtinId="9" hidden="1"/>
    <cellStyle name="열어 본 하이퍼링크" xfId="484" builtinId="9" hidden="1"/>
    <cellStyle name="열어 본 하이퍼링크" xfId="486" builtinId="9" hidden="1"/>
    <cellStyle name="열어 본 하이퍼링크" xfId="488" builtinId="9" hidden="1"/>
    <cellStyle name="열어 본 하이퍼링크" xfId="490" builtinId="9" hidden="1"/>
    <cellStyle name="열어 본 하이퍼링크" xfId="492" builtinId="9" hidden="1"/>
    <cellStyle name="열어 본 하이퍼링크" xfId="494" builtinId="9" hidden="1"/>
    <cellStyle name="열어 본 하이퍼링크" xfId="496" builtinId="9" hidden="1"/>
    <cellStyle name="열어 본 하이퍼링크" xfId="498" builtinId="9" hidden="1"/>
    <cellStyle name="열어 본 하이퍼링크" xfId="500" builtinId="9" hidden="1"/>
    <cellStyle name="열어 본 하이퍼링크" xfId="502" builtinId="9" hidden="1"/>
    <cellStyle name="열어 본 하이퍼링크" xfId="504" builtinId="9" hidden="1"/>
    <cellStyle name="열어 본 하이퍼링크" xfId="506" builtinId="9" hidden="1"/>
    <cellStyle name="열어 본 하이퍼링크" xfId="508" builtinId="9" hidden="1"/>
    <cellStyle name="열어 본 하이퍼링크" xfId="510" builtinId="9" hidden="1"/>
    <cellStyle name="열어 본 하이퍼링크" xfId="512" builtinId="9" hidden="1"/>
    <cellStyle name="열어 본 하이퍼링크" xfId="514" builtinId="9" hidden="1"/>
    <cellStyle name="열어 본 하이퍼링크" xfId="516" builtinId="9" hidden="1"/>
    <cellStyle name="열어 본 하이퍼링크" xfId="518" builtinId="9" hidden="1"/>
    <cellStyle name="열어 본 하이퍼링크" xfId="520" builtinId="9" hidden="1"/>
    <cellStyle name="열어 본 하이퍼링크" xfId="522" builtinId="9" hidden="1"/>
    <cellStyle name="열어 본 하이퍼링크" xfId="524" builtinId="9" hidden="1"/>
    <cellStyle name="열어 본 하이퍼링크" xfId="526" builtinId="9" hidden="1"/>
    <cellStyle name="열어 본 하이퍼링크" xfId="528" builtinId="9" hidden="1"/>
    <cellStyle name="열어 본 하이퍼링크" xfId="530" builtinId="9" hidden="1"/>
    <cellStyle name="열어 본 하이퍼링크" xfId="532" builtinId="9" hidden="1"/>
    <cellStyle name="열어 본 하이퍼링크" xfId="534" builtinId="9" hidden="1"/>
    <cellStyle name="열어 본 하이퍼링크" xfId="536" builtinId="9" hidden="1"/>
    <cellStyle name="열어 본 하이퍼링크" xfId="538" builtinId="9" hidden="1"/>
    <cellStyle name="열어 본 하이퍼링크" xfId="540" builtinId="9" hidden="1"/>
    <cellStyle name="열어 본 하이퍼링크" xfId="542" builtinId="9" hidden="1"/>
    <cellStyle name="열어 본 하이퍼링크" xfId="544" builtinId="9" hidden="1"/>
    <cellStyle name="열어 본 하이퍼링크" xfId="546" builtinId="9" hidden="1"/>
    <cellStyle name="열어 본 하이퍼링크" xfId="548" builtinId="9" hidden="1"/>
    <cellStyle name="열어 본 하이퍼링크" xfId="550" builtinId="9" hidden="1"/>
    <cellStyle name="열어 본 하이퍼링크" xfId="552" builtinId="9" hidden="1"/>
    <cellStyle name="열어 본 하이퍼링크" xfId="554" builtinId="9" hidden="1"/>
    <cellStyle name="열어 본 하이퍼링크" xfId="556" builtinId="9" hidden="1"/>
    <cellStyle name="열어 본 하이퍼링크" xfId="558" builtinId="9" hidden="1"/>
    <cellStyle name="열어 본 하이퍼링크" xfId="560" builtinId="9" hidden="1"/>
    <cellStyle name="열어 본 하이퍼링크" xfId="562" builtinId="9" hidden="1"/>
    <cellStyle name="열어 본 하이퍼링크" xfId="564" builtinId="9" hidden="1"/>
    <cellStyle name="열어 본 하이퍼링크" xfId="566" builtinId="9" hidden="1"/>
    <cellStyle name="열어 본 하이퍼링크" xfId="568" builtinId="9" hidden="1"/>
    <cellStyle name="열어 본 하이퍼링크" xfId="570" builtinId="9" hidden="1"/>
    <cellStyle name="열어 본 하이퍼링크" xfId="572" builtinId="9" hidden="1"/>
    <cellStyle name="열어 본 하이퍼링크" xfId="574" builtinId="9" hidden="1"/>
    <cellStyle name="열어 본 하이퍼링크" xfId="576" builtinId="9" hidden="1"/>
    <cellStyle name="열어 본 하이퍼링크" xfId="578" builtinId="9" hidden="1"/>
    <cellStyle name="열어 본 하이퍼링크" xfId="580" builtinId="9" hidden="1"/>
    <cellStyle name="열어 본 하이퍼링크" xfId="582" builtinId="9" hidden="1"/>
    <cellStyle name="열어 본 하이퍼링크" xfId="584" builtinId="9" hidden="1"/>
    <cellStyle name="열어 본 하이퍼링크" xfId="586" builtinId="9" hidden="1"/>
    <cellStyle name="열어 본 하이퍼링크" xfId="588" builtinId="9" hidden="1"/>
    <cellStyle name="열어 본 하이퍼링크" xfId="590" builtinId="9" hidden="1"/>
    <cellStyle name="열어 본 하이퍼링크" xfId="592" builtinId="9" hidden="1"/>
    <cellStyle name="열어 본 하이퍼링크" xfId="594" builtinId="9" hidden="1"/>
    <cellStyle name="열어 본 하이퍼링크" xfId="596" builtinId="9" hidden="1"/>
    <cellStyle name="열어 본 하이퍼링크" xfId="598" builtinId="9" hidden="1"/>
    <cellStyle name="열어 본 하이퍼링크" xfId="600" builtinId="9" hidden="1"/>
    <cellStyle name="열어 본 하이퍼링크" xfId="602" builtinId="9" hidden="1"/>
    <cellStyle name="열어 본 하이퍼링크" xfId="604" builtinId="9" hidden="1"/>
    <cellStyle name="열어 본 하이퍼링크" xfId="606" builtinId="9" hidden="1"/>
    <cellStyle name="열어 본 하이퍼링크" xfId="608" builtinId="9" hidden="1"/>
    <cellStyle name="열어 본 하이퍼링크" xfId="610" builtinId="9" hidden="1"/>
    <cellStyle name="열어 본 하이퍼링크" xfId="612" builtinId="9" hidden="1"/>
    <cellStyle name="열어 본 하이퍼링크" xfId="614" builtinId="9" hidden="1"/>
    <cellStyle name="열어 본 하이퍼링크" xfId="616" builtinId="9" hidden="1"/>
    <cellStyle name="열어 본 하이퍼링크" xfId="618" builtinId="9" hidden="1"/>
    <cellStyle name="열어 본 하이퍼링크" xfId="620" builtinId="9" hidden="1"/>
    <cellStyle name="열어 본 하이퍼링크" xfId="622" builtinId="9" hidden="1"/>
    <cellStyle name="열어 본 하이퍼링크" xfId="624" builtinId="9" hidden="1"/>
    <cellStyle name="열어 본 하이퍼링크" xfId="626" builtinId="9" hidden="1"/>
    <cellStyle name="열어 본 하이퍼링크" xfId="628" builtinId="9" hidden="1"/>
    <cellStyle name="열어 본 하이퍼링크" xfId="630" builtinId="9" hidden="1"/>
    <cellStyle name="열어 본 하이퍼링크" xfId="632" builtinId="9" hidden="1"/>
    <cellStyle name="열어 본 하이퍼링크" xfId="634" builtinId="9" hidden="1"/>
    <cellStyle name="열어 본 하이퍼링크" xfId="636" builtinId="9" hidden="1"/>
    <cellStyle name="열어 본 하이퍼링크" xfId="638" builtinId="9" hidden="1"/>
    <cellStyle name="열어 본 하이퍼링크" xfId="640" builtinId="9" hidden="1"/>
    <cellStyle name="열어 본 하이퍼링크" xfId="642" builtinId="9" hidden="1"/>
    <cellStyle name="열어 본 하이퍼링크" xfId="644" builtinId="9" hidden="1"/>
    <cellStyle name="열어 본 하이퍼링크" xfId="646" builtinId="9" hidden="1"/>
    <cellStyle name="열어 본 하이퍼링크" xfId="648" builtinId="9" hidden="1"/>
    <cellStyle name="열어 본 하이퍼링크" xfId="650" builtinId="9" hidden="1"/>
    <cellStyle name="열어 본 하이퍼링크" xfId="652" builtinId="9" hidden="1"/>
    <cellStyle name="열어 본 하이퍼링크" xfId="654" builtinId="9" hidden="1"/>
    <cellStyle name="열어 본 하이퍼링크" xfId="656" builtinId="9" hidden="1"/>
    <cellStyle name="열어 본 하이퍼링크" xfId="658" builtinId="9" hidden="1"/>
    <cellStyle name="열어 본 하이퍼링크" xfId="660" builtinId="9" hidden="1"/>
    <cellStyle name="열어 본 하이퍼링크" xfId="662" builtinId="9" hidden="1"/>
    <cellStyle name="열어 본 하이퍼링크" xfId="664" builtinId="9" hidden="1"/>
    <cellStyle name="열어 본 하이퍼링크" xfId="666" builtinId="9" hidden="1"/>
    <cellStyle name="열어 본 하이퍼링크" xfId="668" builtinId="9" hidden="1"/>
    <cellStyle name="열어 본 하이퍼링크" xfId="670" builtinId="9" hidden="1"/>
    <cellStyle name="열어 본 하이퍼링크" xfId="672" builtinId="9" hidden="1"/>
    <cellStyle name="열어 본 하이퍼링크" xfId="674" builtinId="9" hidden="1"/>
    <cellStyle name="열어 본 하이퍼링크" xfId="676" builtinId="9" hidden="1"/>
    <cellStyle name="열어 본 하이퍼링크" xfId="678" builtinId="9" hidden="1"/>
    <cellStyle name="열어 본 하이퍼링크" xfId="680" builtinId="9" hidden="1"/>
    <cellStyle name="열어 본 하이퍼링크" xfId="682" builtinId="9" hidden="1"/>
    <cellStyle name="열어 본 하이퍼링크" xfId="684" builtinId="9" hidden="1"/>
    <cellStyle name="열어 본 하이퍼링크" xfId="686" builtinId="9" hidden="1"/>
    <cellStyle name="열어 본 하이퍼링크" xfId="688" builtinId="9" hidden="1"/>
    <cellStyle name="열어 본 하이퍼링크" xfId="690" builtinId="9" hidden="1"/>
    <cellStyle name="열어 본 하이퍼링크" xfId="692" builtinId="9" hidden="1"/>
    <cellStyle name="열어 본 하이퍼링크" xfId="694" builtinId="9" hidden="1"/>
    <cellStyle name="열어 본 하이퍼링크" xfId="696" builtinId="9" hidden="1"/>
    <cellStyle name="열어 본 하이퍼링크" xfId="698" builtinId="9" hidden="1"/>
    <cellStyle name="열어 본 하이퍼링크" xfId="700" builtinId="9" hidden="1"/>
    <cellStyle name="열어 본 하이퍼링크" xfId="702" builtinId="9" hidden="1"/>
    <cellStyle name="열어 본 하이퍼링크" xfId="704" builtinId="9" hidden="1"/>
    <cellStyle name="열어 본 하이퍼링크" xfId="706" builtinId="9" hidden="1"/>
    <cellStyle name="열어 본 하이퍼링크" xfId="708" builtinId="9" hidden="1"/>
    <cellStyle name="열어 본 하이퍼링크" xfId="710" builtinId="9" hidden="1"/>
    <cellStyle name="열어 본 하이퍼링크" xfId="712" builtinId="9" hidden="1"/>
    <cellStyle name="열어 본 하이퍼링크" xfId="714" builtinId="9" hidden="1"/>
    <cellStyle name="열어 본 하이퍼링크" xfId="716" builtinId="9" hidden="1"/>
    <cellStyle name="열어 본 하이퍼링크" xfId="718" builtinId="9" hidden="1"/>
    <cellStyle name="열어 본 하이퍼링크" xfId="720" builtinId="9" hidden="1"/>
    <cellStyle name="열어 본 하이퍼링크" xfId="722" builtinId="9" hidden="1"/>
    <cellStyle name="열어 본 하이퍼링크" xfId="724" builtinId="9" hidden="1"/>
    <cellStyle name="열어 본 하이퍼링크" xfId="726" builtinId="9" hidden="1"/>
    <cellStyle name="열어 본 하이퍼링크" xfId="728" builtinId="9" hidden="1"/>
    <cellStyle name="열어 본 하이퍼링크" xfId="730" builtinId="9" hidden="1"/>
    <cellStyle name="열어 본 하이퍼링크" xfId="732" builtinId="9" hidden="1"/>
    <cellStyle name="열어 본 하이퍼링크" xfId="734" builtinId="9" hidden="1"/>
    <cellStyle name="열어 본 하이퍼링크" xfId="736" builtinId="9" hidden="1"/>
    <cellStyle name="열어 본 하이퍼링크" xfId="738" builtinId="9" hidden="1"/>
    <cellStyle name="열어 본 하이퍼링크" xfId="740" builtinId="9" hidden="1"/>
    <cellStyle name="열어 본 하이퍼링크" xfId="742" builtinId="9" hidden="1"/>
    <cellStyle name="열어 본 하이퍼링크" xfId="744" builtinId="9" hidden="1"/>
    <cellStyle name="열어 본 하이퍼링크" xfId="746" builtinId="9" hidden="1"/>
    <cellStyle name="열어 본 하이퍼링크" xfId="748" builtinId="9" hidden="1"/>
    <cellStyle name="열어 본 하이퍼링크" xfId="750" builtinId="9" hidden="1"/>
    <cellStyle name="열어 본 하이퍼링크" xfId="752" builtinId="9" hidden="1"/>
    <cellStyle name="열어 본 하이퍼링크" xfId="754" builtinId="9" hidden="1"/>
    <cellStyle name="열어 본 하이퍼링크" xfId="756" builtinId="9" hidden="1"/>
    <cellStyle name="열어 본 하이퍼링크" xfId="758" builtinId="9" hidden="1"/>
    <cellStyle name="열어 본 하이퍼링크" xfId="760" builtinId="9" hidden="1"/>
    <cellStyle name="열어 본 하이퍼링크" xfId="762" builtinId="9" hidden="1"/>
    <cellStyle name="열어 본 하이퍼링크" xfId="764" builtinId="9" hidden="1"/>
    <cellStyle name="열어 본 하이퍼링크" xfId="766" builtinId="9" hidden="1"/>
    <cellStyle name="열어 본 하이퍼링크" xfId="768" builtinId="9" hidden="1"/>
    <cellStyle name="열어 본 하이퍼링크" xfId="770" builtinId="9" hidden="1"/>
    <cellStyle name="열어 본 하이퍼링크" xfId="772" builtinId="9" hidden="1"/>
    <cellStyle name="열어 본 하이퍼링크" xfId="774" builtinId="9" hidden="1"/>
    <cellStyle name="열어 본 하이퍼링크" xfId="776" builtinId="9" hidden="1"/>
    <cellStyle name="열어 본 하이퍼링크" xfId="778" builtinId="9" hidden="1"/>
    <cellStyle name="열어 본 하이퍼링크" xfId="780" builtinId="9" hidden="1"/>
    <cellStyle name="열어 본 하이퍼링크" xfId="782" builtinId="9" hidden="1"/>
    <cellStyle name="열어 본 하이퍼링크" xfId="784" builtinId="9" hidden="1"/>
    <cellStyle name="열어 본 하이퍼링크" xfId="786" builtinId="9" hidden="1"/>
    <cellStyle name="열어 본 하이퍼링크" xfId="788" builtinId="9" hidden="1"/>
    <cellStyle name="열어 본 하이퍼링크" xfId="790" builtinId="9" hidden="1"/>
    <cellStyle name="열어 본 하이퍼링크" xfId="792" builtinId="9" hidden="1"/>
    <cellStyle name="열어 본 하이퍼링크" xfId="794" builtinId="9" hidden="1"/>
    <cellStyle name="열어 본 하이퍼링크" xfId="796" builtinId="9" hidden="1"/>
    <cellStyle name="열어 본 하이퍼링크" xfId="798" builtinId="9" hidden="1"/>
    <cellStyle name="열어 본 하이퍼링크" xfId="800" builtinId="9" hidden="1"/>
    <cellStyle name="열어 본 하이퍼링크" xfId="802" builtinId="9" hidden="1"/>
    <cellStyle name="열어 본 하이퍼링크" xfId="804" builtinId="9" hidden="1"/>
    <cellStyle name="열어 본 하이퍼링크" xfId="806" builtinId="9" hidden="1"/>
    <cellStyle name="열어 본 하이퍼링크" xfId="808" builtinId="9" hidden="1"/>
    <cellStyle name="열어 본 하이퍼링크" xfId="810" builtinId="9" hidden="1"/>
    <cellStyle name="열어 본 하이퍼링크" xfId="812" builtinId="9" hidden="1"/>
    <cellStyle name="열어 본 하이퍼링크" xfId="814" builtinId="9" hidden="1"/>
    <cellStyle name="열어 본 하이퍼링크" xfId="816" builtinId="9" hidden="1"/>
    <cellStyle name="열어 본 하이퍼링크" xfId="818" builtinId="9" hidden="1"/>
    <cellStyle name="열어 본 하이퍼링크" xfId="820" builtinId="9" hidden="1"/>
    <cellStyle name="열어 본 하이퍼링크" xfId="822" builtinId="9" hidden="1"/>
    <cellStyle name="열어 본 하이퍼링크" xfId="824" builtinId="9" hidden="1"/>
    <cellStyle name="열어 본 하이퍼링크" xfId="826" builtinId="9" hidden="1"/>
    <cellStyle name="열어 본 하이퍼링크" xfId="828" builtinId="9" hidden="1"/>
    <cellStyle name="열어 본 하이퍼링크" xfId="830" builtinId="9" hidden="1"/>
    <cellStyle name="열어 본 하이퍼링크" xfId="832" builtinId="9" hidden="1"/>
    <cellStyle name="열어 본 하이퍼링크" xfId="834" builtinId="9" hidden="1"/>
    <cellStyle name="열어 본 하이퍼링크" xfId="836" builtinId="9" hidden="1"/>
    <cellStyle name="열어 본 하이퍼링크" xfId="838" builtinId="9" hidden="1"/>
    <cellStyle name="열어 본 하이퍼링크" xfId="840" builtinId="9" hidden="1"/>
    <cellStyle name="열어 본 하이퍼링크" xfId="842" builtinId="9" hidden="1"/>
    <cellStyle name="열어 본 하이퍼링크" xfId="844" builtinId="9" hidden="1"/>
    <cellStyle name="열어 본 하이퍼링크" xfId="846" builtinId="9" hidden="1"/>
    <cellStyle name="열어 본 하이퍼링크" xfId="848" builtinId="9" hidden="1"/>
    <cellStyle name="열어 본 하이퍼링크" xfId="850" builtinId="9" hidden="1"/>
    <cellStyle name="열어 본 하이퍼링크" xfId="852" builtinId="9" hidden="1"/>
    <cellStyle name="열어 본 하이퍼링크" xfId="854" builtinId="9" hidden="1"/>
    <cellStyle name="열어 본 하이퍼링크" xfId="856" builtinId="9" hidden="1"/>
    <cellStyle name="열어 본 하이퍼링크" xfId="858" builtinId="9" hidden="1"/>
    <cellStyle name="열어 본 하이퍼링크" xfId="860" builtinId="9" hidden="1"/>
    <cellStyle name="열어 본 하이퍼링크" xfId="862" builtinId="9" hidden="1"/>
    <cellStyle name="열어 본 하이퍼링크" xfId="864" builtinId="9" hidden="1"/>
    <cellStyle name="열어 본 하이퍼링크" xfId="866" builtinId="9" hidden="1"/>
    <cellStyle name="열어 본 하이퍼링크" xfId="868" builtinId="9" hidden="1"/>
    <cellStyle name="열어 본 하이퍼링크" xfId="870" builtinId="9" hidden="1"/>
    <cellStyle name="열어 본 하이퍼링크" xfId="872" builtinId="9" hidden="1"/>
    <cellStyle name="열어 본 하이퍼링크" xfId="874" builtinId="9" hidden="1"/>
    <cellStyle name="열어 본 하이퍼링크" xfId="876" builtinId="9" hidden="1"/>
    <cellStyle name="열어 본 하이퍼링크" xfId="878" builtinId="9" hidden="1"/>
    <cellStyle name="열어 본 하이퍼링크" xfId="880" builtinId="9" hidden="1"/>
    <cellStyle name="열어 본 하이퍼링크" xfId="882" builtinId="9" hidden="1"/>
    <cellStyle name="열어 본 하이퍼링크" xfId="884" builtinId="9" hidden="1"/>
    <cellStyle name="열어 본 하이퍼링크" xfId="886" builtinId="9" hidden="1"/>
    <cellStyle name="열어 본 하이퍼링크" xfId="888" builtinId="9" hidden="1"/>
    <cellStyle name="열어 본 하이퍼링크" xfId="890" builtinId="9" hidden="1"/>
    <cellStyle name="열어 본 하이퍼링크" xfId="892" builtinId="9" hidden="1"/>
    <cellStyle name="열어 본 하이퍼링크" xfId="894" builtinId="9" hidden="1"/>
    <cellStyle name="열어 본 하이퍼링크" xfId="896" builtinId="9" hidden="1"/>
    <cellStyle name="열어 본 하이퍼링크" xfId="898" builtinId="9" hidden="1"/>
    <cellStyle name="열어 본 하이퍼링크" xfId="900" builtinId="9" hidden="1"/>
    <cellStyle name="열어 본 하이퍼링크" xfId="902" builtinId="9" hidden="1"/>
    <cellStyle name="열어 본 하이퍼링크" xfId="904" builtinId="9" hidden="1"/>
    <cellStyle name="열어 본 하이퍼링크" xfId="906" builtinId="9" hidden="1"/>
    <cellStyle name="열어 본 하이퍼링크" xfId="908" builtinId="9" hidden="1"/>
    <cellStyle name="열어 본 하이퍼링크" xfId="910" builtinId="9" hidden="1"/>
    <cellStyle name="열어 본 하이퍼링크" xfId="912" builtinId="9" hidden="1"/>
    <cellStyle name="열어 본 하이퍼링크" xfId="914" builtinId="9" hidden="1"/>
    <cellStyle name="열어 본 하이퍼링크" xfId="916" builtinId="9" hidden="1"/>
    <cellStyle name="열어 본 하이퍼링크" xfId="918" builtinId="9" hidden="1"/>
    <cellStyle name="열어 본 하이퍼링크" xfId="920" builtinId="9" hidden="1"/>
    <cellStyle name="열어 본 하이퍼링크" xfId="922" builtinId="9" hidden="1"/>
    <cellStyle name="열어 본 하이퍼링크" xfId="924" builtinId="9" hidden="1"/>
    <cellStyle name="열어 본 하이퍼링크" xfId="926" builtinId="9" hidden="1"/>
    <cellStyle name="열어 본 하이퍼링크" xfId="928" builtinId="9" hidden="1"/>
    <cellStyle name="열어 본 하이퍼링크" xfId="930" builtinId="9" hidden="1"/>
    <cellStyle name="열어 본 하이퍼링크" xfId="932" builtinId="9" hidden="1"/>
    <cellStyle name="열어 본 하이퍼링크" xfId="934" builtinId="9" hidden="1"/>
    <cellStyle name="열어 본 하이퍼링크" xfId="936" builtinId="9" hidden="1"/>
    <cellStyle name="열어 본 하이퍼링크" xfId="938" builtinId="9" hidden="1"/>
    <cellStyle name="열어 본 하이퍼링크" xfId="940" builtinId="9" hidden="1"/>
    <cellStyle name="열어 본 하이퍼링크" xfId="942" builtinId="9" hidden="1"/>
    <cellStyle name="열어 본 하이퍼링크" xfId="944" builtinId="9" hidden="1"/>
    <cellStyle name="열어 본 하이퍼링크" xfId="946" builtinId="9" hidden="1"/>
    <cellStyle name="열어 본 하이퍼링크" xfId="948" builtinId="9" hidden="1"/>
    <cellStyle name="열어 본 하이퍼링크" xfId="950" builtinId="9" hidden="1"/>
    <cellStyle name="열어 본 하이퍼링크" xfId="952" builtinId="9" hidden="1"/>
    <cellStyle name="열어 본 하이퍼링크" xfId="954" builtinId="9" hidden="1"/>
    <cellStyle name="열어 본 하이퍼링크" xfId="956" builtinId="9" hidden="1"/>
    <cellStyle name="열어 본 하이퍼링크" xfId="958" builtinId="9" hidden="1"/>
    <cellStyle name="열어 본 하이퍼링크" xfId="960" builtinId="9" hidden="1"/>
    <cellStyle name="열어 본 하이퍼링크" xfId="962" builtinId="9" hidden="1"/>
    <cellStyle name="열어 본 하이퍼링크" xfId="964" builtinId="9" hidden="1"/>
    <cellStyle name="열어 본 하이퍼링크" xfId="966" builtinId="9" hidden="1"/>
    <cellStyle name="열어 본 하이퍼링크" xfId="968" builtinId="9" hidden="1"/>
    <cellStyle name="열어 본 하이퍼링크" xfId="970" builtinId="9" hidden="1"/>
    <cellStyle name="열어 본 하이퍼링크" xfId="972" builtinId="9" hidden="1"/>
    <cellStyle name="열어 본 하이퍼링크" xfId="974" builtinId="9" hidden="1"/>
    <cellStyle name="열어 본 하이퍼링크" xfId="976" builtinId="9" hidden="1"/>
    <cellStyle name="열어 본 하이퍼링크" xfId="978" builtinId="9" hidden="1"/>
    <cellStyle name="열어 본 하이퍼링크" xfId="980" builtinId="9" hidden="1"/>
    <cellStyle name="열어 본 하이퍼링크" xfId="982" builtinId="9" hidden="1"/>
    <cellStyle name="열어 본 하이퍼링크" xfId="984" builtinId="9" hidden="1"/>
    <cellStyle name="열어 본 하이퍼링크" xfId="986" builtinId="9" hidden="1"/>
    <cellStyle name="열어 본 하이퍼링크" xfId="988" builtinId="9" hidden="1"/>
    <cellStyle name="열어 본 하이퍼링크" xfId="990" builtinId="9" hidden="1"/>
    <cellStyle name="열어 본 하이퍼링크" xfId="992" builtinId="9" hidden="1"/>
    <cellStyle name="열어 본 하이퍼링크" xfId="994" builtinId="9" hidden="1"/>
    <cellStyle name="열어 본 하이퍼링크" xfId="996" builtinId="9" hidden="1"/>
    <cellStyle name="열어 본 하이퍼링크" xfId="998" builtinId="9" hidden="1"/>
    <cellStyle name="열어 본 하이퍼링크" xfId="1000" builtinId="9" hidden="1"/>
    <cellStyle name="열어 본 하이퍼링크" xfId="1002" builtinId="9" hidden="1"/>
    <cellStyle name="열어 본 하이퍼링크" xfId="1004" builtinId="9" hidden="1"/>
    <cellStyle name="열어 본 하이퍼링크" xfId="1006" builtinId="9" hidden="1"/>
    <cellStyle name="열어 본 하이퍼링크" xfId="1008" builtinId="9" hidden="1"/>
    <cellStyle name="열어 본 하이퍼링크" xfId="1010" builtinId="9" hidden="1"/>
    <cellStyle name="열어 본 하이퍼링크" xfId="1012" builtinId="9" hidden="1"/>
    <cellStyle name="열어 본 하이퍼링크" xfId="1014" builtinId="9" hidden="1"/>
    <cellStyle name="열어 본 하이퍼링크" xfId="1016" builtinId="9" hidden="1"/>
    <cellStyle name="열어 본 하이퍼링크" xfId="1018" builtinId="9" hidden="1"/>
    <cellStyle name="열어 본 하이퍼링크" xfId="1020" builtinId="9" hidden="1"/>
    <cellStyle name="열어 본 하이퍼링크" xfId="1022" builtinId="9" hidden="1"/>
    <cellStyle name="열어 본 하이퍼링크" xfId="1024" builtinId="9" hidden="1"/>
    <cellStyle name="열어 본 하이퍼링크" xfId="1026" builtinId="9" hidden="1"/>
    <cellStyle name="열어 본 하이퍼링크" xfId="1028" builtinId="9" hidden="1"/>
    <cellStyle name="열어 본 하이퍼링크" xfId="1030" builtinId="9" hidden="1"/>
    <cellStyle name="열어 본 하이퍼링크" xfId="1032" builtinId="9" hidden="1"/>
    <cellStyle name="열어 본 하이퍼링크" xfId="1034" builtinId="9" hidden="1"/>
    <cellStyle name="열어 본 하이퍼링크" xfId="1036" builtinId="9" hidden="1"/>
    <cellStyle name="열어 본 하이퍼링크" xfId="1038" builtinId="9" hidden="1"/>
    <cellStyle name="열어 본 하이퍼링크" xfId="1040" builtinId="9" hidden="1"/>
    <cellStyle name="열어 본 하이퍼링크" xfId="1042" builtinId="9" hidden="1"/>
    <cellStyle name="열어 본 하이퍼링크" xfId="1044" builtinId="9" hidden="1"/>
    <cellStyle name="열어 본 하이퍼링크" xfId="1046" builtinId="9" hidden="1"/>
    <cellStyle name="열어 본 하이퍼링크" xfId="1048" builtinId="9" hidden="1"/>
    <cellStyle name="열어 본 하이퍼링크" xfId="1050" builtinId="9" hidden="1"/>
    <cellStyle name="열어 본 하이퍼링크" xfId="1052" builtinId="9" hidden="1"/>
    <cellStyle name="열어 본 하이퍼링크" xfId="1054" builtinId="9" hidden="1"/>
    <cellStyle name="열어 본 하이퍼링크" xfId="1056" builtinId="9" hidden="1"/>
    <cellStyle name="열어 본 하이퍼링크" xfId="1058" builtinId="9" hidden="1"/>
    <cellStyle name="열어 본 하이퍼링크" xfId="1060" builtinId="9" hidden="1"/>
    <cellStyle name="열어 본 하이퍼링크" xfId="1062" builtinId="9" hidden="1"/>
    <cellStyle name="열어 본 하이퍼링크" xfId="1064" builtinId="9" hidden="1"/>
    <cellStyle name="열어 본 하이퍼링크" xfId="1066" builtinId="9" hidden="1"/>
    <cellStyle name="열어 본 하이퍼링크" xfId="1068" builtinId="9" hidden="1"/>
    <cellStyle name="열어 본 하이퍼링크" xfId="1070" builtinId="9" hidden="1"/>
    <cellStyle name="열어 본 하이퍼링크" xfId="1072" builtinId="9" hidden="1"/>
    <cellStyle name="열어 본 하이퍼링크" xfId="1074" builtinId="9" hidden="1"/>
    <cellStyle name="열어 본 하이퍼링크" xfId="1076" builtinId="9" hidden="1"/>
    <cellStyle name="열어 본 하이퍼링크" xfId="1078" builtinId="9" hidden="1"/>
    <cellStyle name="열어 본 하이퍼링크" xfId="1080" builtinId="9" hidden="1"/>
    <cellStyle name="열어 본 하이퍼링크" xfId="1082" builtinId="9" hidden="1"/>
    <cellStyle name="열어 본 하이퍼링크" xfId="1084" builtinId="9" hidden="1"/>
    <cellStyle name="열어 본 하이퍼링크" xfId="1086" builtinId="9" hidden="1"/>
    <cellStyle name="열어 본 하이퍼링크" xfId="1088" builtinId="9" hidden="1"/>
    <cellStyle name="열어 본 하이퍼링크" xfId="1090" builtinId="9" hidden="1"/>
    <cellStyle name="열어 본 하이퍼링크" xfId="1092" builtinId="9" hidden="1"/>
    <cellStyle name="열어 본 하이퍼링크" xfId="1094" builtinId="9" hidden="1"/>
    <cellStyle name="열어 본 하이퍼링크" xfId="1096" builtinId="9" hidden="1"/>
    <cellStyle name="열어 본 하이퍼링크" xfId="1098" builtinId="9" hidden="1"/>
    <cellStyle name="열어 본 하이퍼링크" xfId="1100" builtinId="9" hidden="1"/>
    <cellStyle name="열어 본 하이퍼링크" xfId="1102" builtinId="9" hidden="1"/>
    <cellStyle name="열어 본 하이퍼링크" xfId="1104" builtinId="9" hidden="1"/>
    <cellStyle name="열어 본 하이퍼링크" xfId="1106" builtinId="9" hidden="1"/>
    <cellStyle name="열어 본 하이퍼링크" xfId="1108" builtinId="9" hidden="1"/>
    <cellStyle name="열어 본 하이퍼링크" xfId="1110" builtinId="9" hidden="1"/>
    <cellStyle name="열어 본 하이퍼링크" xfId="1112" builtinId="9" hidden="1"/>
    <cellStyle name="열어 본 하이퍼링크" xfId="1114" builtinId="9" hidden="1"/>
    <cellStyle name="열어 본 하이퍼링크" xfId="1116" builtinId="9" hidden="1"/>
    <cellStyle name="열어 본 하이퍼링크" xfId="1118" builtinId="9" hidden="1"/>
    <cellStyle name="열어 본 하이퍼링크" xfId="1120" builtinId="9" hidden="1"/>
    <cellStyle name="열어 본 하이퍼링크" xfId="1122" builtinId="9" hidden="1"/>
    <cellStyle name="열어 본 하이퍼링크" xfId="1124" builtinId="9" hidden="1"/>
    <cellStyle name="열어 본 하이퍼링크" xfId="1126" builtinId="9" hidden="1"/>
    <cellStyle name="열어 본 하이퍼링크" xfId="1128" builtinId="9" hidden="1"/>
    <cellStyle name="열어 본 하이퍼링크" xfId="1130" builtinId="9" hidden="1"/>
    <cellStyle name="열어 본 하이퍼링크" xfId="1132" builtinId="9" hidden="1"/>
    <cellStyle name="열어 본 하이퍼링크" xfId="1134" builtinId="9" hidden="1"/>
    <cellStyle name="열어 본 하이퍼링크" xfId="1136" builtinId="9" hidden="1"/>
    <cellStyle name="열어 본 하이퍼링크" xfId="1138" builtinId="9" hidden="1"/>
    <cellStyle name="열어 본 하이퍼링크" xfId="1140" builtinId="9" hidden="1"/>
    <cellStyle name="열어 본 하이퍼링크" xfId="1142" builtinId="9" hidden="1"/>
    <cellStyle name="열어 본 하이퍼링크" xfId="1144" builtinId="9" hidden="1"/>
    <cellStyle name="열어 본 하이퍼링크" xfId="1146" builtinId="9" hidden="1"/>
    <cellStyle name="열어 본 하이퍼링크" xfId="1148" builtinId="9" hidden="1"/>
    <cellStyle name="열어 본 하이퍼링크" xfId="1150" builtinId="9" hidden="1"/>
    <cellStyle name="열어 본 하이퍼링크" xfId="1152" builtinId="9" hidden="1"/>
    <cellStyle name="열어 본 하이퍼링크" xfId="1154" builtinId="9" hidden="1"/>
    <cellStyle name="열어 본 하이퍼링크" xfId="1156" builtinId="9" hidden="1"/>
    <cellStyle name="열어 본 하이퍼링크" xfId="1158" builtinId="9" hidden="1"/>
    <cellStyle name="열어 본 하이퍼링크" xfId="1160" builtinId="9" hidden="1"/>
    <cellStyle name="열어 본 하이퍼링크" xfId="1162" builtinId="9" hidden="1"/>
    <cellStyle name="열어 본 하이퍼링크" xfId="1164" builtinId="9" hidden="1"/>
    <cellStyle name="열어 본 하이퍼링크" xfId="1166" builtinId="9" hidden="1"/>
    <cellStyle name="열어 본 하이퍼링크" xfId="1168" builtinId="9" hidden="1"/>
    <cellStyle name="열어 본 하이퍼링크" xfId="1170" builtinId="9" hidden="1"/>
    <cellStyle name="열어 본 하이퍼링크" xfId="1172" builtinId="9" hidden="1"/>
    <cellStyle name="열어 본 하이퍼링크" xfId="1174" builtinId="9" hidden="1"/>
    <cellStyle name="열어 본 하이퍼링크" xfId="1176" builtinId="9" hidden="1"/>
    <cellStyle name="열어 본 하이퍼링크" xfId="1178" builtinId="9" hidden="1"/>
    <cellStyle name="열어 본 하이퍼링크" xfId="1180" builtinId="9" hidden="1"/>
    <cellStyle name="열어 본 하이퍼링크" xfId="1182" builtinId="9" hidden="1"/>
    <cellStyle name="열어 본 하이퍼링크" xfId="1184" builtinId="9" hidden="1"/>
    <cellStyle name="열어 본 하이퍼링크" xfId="1186" builtinId="9" hidden="1"/>
    <cellStyle name="열어 본 하이퍼링크" xfId="1188" builtinId="9" hidden="1"/>
    <cellStyle name="열어 본 하이퍼링크" xfId="1190" builtinId="9" hidden="1"/>
    <cellStyle name="열어 본 하이퍼링크" xfId="1192" builtinId="9" hidden="1"/>
    <cellStyle name="열어 본 하이퍼링크" xfId="1194" builtinId="9" hidden="1"/>
    <cellStyle name="열어 본 하이퍼링크" xfId="1196" builtinId="9" hidden="1"/>
    <cellStyle name="열어 본 하이퍼링크" xfId="1198" builtinId="9" hidden="1"/>
    <cellStyle name="열어 본 하이퍼링크" xfId="1200" builtinId="9" hidden="1"/>
    <cellStyle name="열어 본 하이퍼링크" xfId="1202" builtinId="9" hidden="1"/>
    <cellStyle name="열어 본 하이퍼링크" xfId="1204" builtinId="9" hidden="1"/>
    <cellStyle name="열어 본 하이퍼링크" xfId="1206" builtinId="9" hidden="1"/>
    <cellStyle name="열어 본 하이퍼링크" xfId="1208" builtinId="9" hidden="1"/>
    <cellStyle name="열어 본 하이퍼링크" xfId="1210" builtinId="9" hidden="1"/>
    <cellStyle name="열어 본 하이퍼링크" xfId="1212" builtinId="9" hidden="1"/>
    <cellStyle name="열어 본 하이퍼링크" xfId="1214" builtinId="9" hidden="1"/>
    <cellStyle name="열어 본 하이퍼링크" xfId="1216" builtinId="9" hidden="1"/>
    <cellStyle name="열어 본 하이퍼링크" xfId="1218" builtinId="9" hidden="1"/>
    <cellStyle name="열어 본 하이퍼링크" xfId="1220" builtinId="9" hidden="1"/>
    <cellStyle name="열어 본 하이퍼링크" xfId="1222" builtinId="9" hidden="1"/>
    <cellStyle name="열어 본 하이퍼링크" xfId="1224" builtinId="9" hidden="1"/>
    <cellStyle name="열어 본 하이퍼링크" xfId="1226" builtinId="9" hidden="1"/>
    <cellStyle name="열어 본 하이퍼링크" xfId="1228" builtinId="9" hidden="1"/>
    <cellStyle name="열어 본 하이퍼링크" xfId="1230" builtinId="9" hidden="1"/>
    <cellStyle name="열어 본 하이퍼링크" xfId="1232" builtinId="9" hidden="1"/>
    <cellStyle name="열어 본 하이퍼링크" xfId="1234" builtinId="9" hidden="1"/>
    <cellStyle name="열어 본 하이퍼링크" xfId="1236" builtinId="9" hidden="1"/>
    <cellStyle name="열어 본 하이퍼링크" xfId="1238" builtinId="9" hidden="1"/>
    <cellStyle name="열어 본 하이퍼링크" xfId="1240" builtinId="9" hidden="1"/>
    <cellStyle name="열어 본 하이퍼링크" xfId="1242" builtinId="9" hidden="1"/>
    <cellStyle name="열어 본 하이퍼링크" xfId="1244" builtinId="9" hidden="1"/>
    <cellStyle name="열어 본 하이퍼링크" xfId="1246" builtinId="9" hidden="1"/>
    <cellStyle name="열어 본 하이퍼링크" xfId="1248" builtinId="9" hidden="1"/>
    <cellStyle name="열어 본 하이퍼링크" xfId="1250" builtinId="9" hidden="1"/>
    <cellStyle name="열어 본 하이퍼링크" xfId="1252" builtinId="9" hidden="1"/>
    <cellStyle name="열어 본 하이퍼링크" xfId="1254" builtinId="9" hidden="1"/>
    <cellStyle name="열어 본 하이퍼링크" xfId="1256" builtinId="9" hidden="1"/>
    <cellStyle name="열어 본 하이퍼링크" xfId="1258" builtinId="9" hidden="1"/>
    <cellStyle name="열어 본 하이퍼링크" xfId="1260" builtinId="9" hidden="1"/>
    <cellStyle name="열어 본 하이퍼링크" xfId="1262" builtinId="9" hidden="1"/>
    <cellStyle name="열어 본 하이퍼링크" xfId="1264" builtinId="9" hidden="1"/>
    <cellStyle name="열어 본 하이퍼링크" xfId="1266" builtinId="9" hidden="1"/>
    <cellStyle name="열어 본 하이퍼링크" xfId="1268" builtinId="9" hidden="1"/>
    <cellStyle name="열어 본 하이퍼링크" xfId="1270" builtinId="9" hidden="1"/>
    <cellStyle name="열어 본 하이퍼링크" xfId="1272" builtinId="9" hidden="1"/>
    <cellStyle name="열어 본 하이퍼링크" xfId="1274" builtinId="9" hidden="1"/>
    <cellStyle name="열어 본 하이퍼링크" xfId="1276" builtinId="9" hidden="1"/>
    <cellStyle name="열어 본 하이퍼링크" xfId="1278" builtinId="9" hidden="1"/>
    <cellStyle name="열어 본 하이퍼링크" xfId="1280" builtinId="9" hidden="1"/>
    <cellStyle name="열어 본 하이퍼링크" xfId="1282" builtinId="9" hidden="1"/>
    <cellStyle name="열어 본 하이퍼링크" xfId="1284" builtinId="9" hidden="1"/>
    <cellStyle name="열어 본 하이퍼링크" xfId="1286" builtinId="9" hidden="1"/>
    <cellStyle name="열어 본 하이퍼링크" xfId="1288" builtinId="9" hidden="1"/>
    <cellStyle name="열어 본 하이퍼링크" xfId="1290" builtinId="9" hidden="1"/>
    <cellStyle name="열어 본 하이퍼링크" xfId="1292" builtinId="9" hidden="1"/>
    <cellStyle name="열어 본 하이퍼링크" xfId="1294" builtinId="9" hidden="1"/>
    <cellStyle name="열어 본 하이퍼링크" xfId="1296" builtinId="9" hidden="1"/>
    <cellStyle name="열어 본 하이퍼링크" xfId="1298" builtinId="9" hidden="1"/>
    <cellStyle name="열어 본 하이퍼링크" xfId="1300" builtinId="9" hidden="1"/>
    <cellStyle name="열어 본 하이퍼링크" xfId="1302" builtinId="9" hidden="1"/>
    <cellStyle name="열어 본 하이퍼링크" xfId="1304" builtinId="9" hidden="1"/>
    <cellStyle name="열어 본 하이퍼링크" xfId="1306" builtinId="9" hidden="1"/>
    <cellStyle name="열어 본 하이퍼링크" xfId="1308" builtinId="9" hidden="1"/>
    <cellStyle name="열어 본 하이퍼링크" xfId="1310" builtinId="9" hidden="1"/>
    <cellStyle name="열어 본 하이퍼링크" xfId="1312" builtinId="9" hidden="1"/>
    <cellStyle name="열어 본 하이퍼링크" xfId="1314" builtinId="9" hidden="1"/>
    <cellStyle name="열어 본 하이퍼링크" xfId="1316" builtinId="9" hidden="1"/>
    <cellStyle name="열어 본 하이퍼링크" xfId="1318" builtinId="9" hidden="1"/>
    <cellStyle name="열어 본 하이퍼링크" xfId="1320" builtinId="9" hidden="1"/>
    <cellStyle name="열어 본 하이퍼링크" xfId="1322" builtinId="9" hidden="1"/>
    <cellStyle name="열어 본 하이퍼링크" xfId="1324" builtinId="9" hidden="1"/>
    <cellStyle name="열어 본 하이퍼링크" xfId="1326" builtinId="9" hidden="1"/>
    <cellStyle name="열어 본 하이퍼링크" xfId="1328" builtinId="9" hidden="1"/>
    <cellStyle name="열어 본 하이퍼링크" xfId="1330" builtinId="9" hidden="1"/>
    <cellStyle name="열어 본 하이퍼링크" xfId="1332" builtinId="9" hidden="1"/>
    <cellStyle name="열어 본 하이퍼링크" xfId="1334" builtinId="9" hidden="1"/>
    <cellStyle name="열어 본 하이퍼링크" xfId="1336" builtinId="9" hidden="1"/>
    <cellStyle name="열어 본 하이퍼링크" xfId="1338" builtinId="9" hidden="1"/>
    <cellStyle name="열어 본 하이퍼링크" xfId="1340" builtinId="9" hidden="1"/>
    <cellStyle name="열어 본 하이퍼링크" xfId="1342" builtinId="9" hidden="1"/>
    <cellStyle name="열어 본 하이퍼링크" xfId="1344" builtinId="9" hidden="1"/>
    <cellStyle name="열어 본 하이퍼링크" xfId="1346" builtinId="9" hidden="1"/>
    <cellStyle name="열어 본 하이퍼링크" xfId="1348" builtinId="9" hidden="1"/>
    <cellStyle name="열어 본 하이퍼링크" xfId="1350" builtinId="9" hidden="1"/>
    <cellStyle name="열어 본 하이퍼링크" xfId="1352" builtinId="9" hidden="1"/>
    <cellStyle name="열어 본 하이퍼링크" xfId="1354" builtinId="9" hidden="1"/>
    <cellStyle name="열어 본 하이퍼링크" xfId="1356" builtinId="9" hidden="1"/>
    <cellStyle name="열어 본 하이퍼링크" xfId="1358" builtinId="9" hidden="1"/>
    <cellStyle name="열어 본 하이퍼링크" xfId="1360" builtinId="9" hidden="1"/>
    <cellStyle name="열어 본 하이퍼링크" xfId="1362" builtinId="9" hidden="1"/>
    <cellStyle name="열어 본 하이퍼링크" xfId="1364" builtinId="9" hidden="1"/>
    <cellStyle name="열어 본 하이퍼링크" xfId="1366" builtinId="9" hidden="1"/>
    <cellStyle name="열어 본 하이퍼링크" xfId="1368" builtinId="9" hidden="1"/>
    <cellStyle name="열어 본 하이퍼링크" xfId="1370" builtinId="9" hidden="1"/>
    <cellStyle name="열어 본 하이퍼링크" xfId="1372" builtinId="9" hidden="1"/>
    <cellStyle name="열어 본 하이퍼링크" xfId="1374" builtinId="9" hidden="1"/>
    <cellStyle name="열어 본 하이퍼링크" xfId="1376" builtinId="9" hidden="1"/>
    <cellStyle name="열어 본 하이퍼링크" xfId="1378" builtinId="9" hidden="1"/>
    <cellStyle name="열어 본 하이퍼링크" xfId="1380" builtinId="9" hidden="1"/>
    <cellStyle name="열어 본 하이퍼링크" xfId="1382" builtinId="9" hidden="1"/>
    <cellStyle name="열어 본 하이퍼링크" xfId="1384" builtinId="9" hidden="1"/>
    <cellStyle name="열어 본 하이퍼링크" xfId="1386" builtinId="9" hidden="1"/>
    <cellStyle name="열어 본 하이퍼링크" xfId="1388" builtinId="9" hidden="1"/>
    <cellStyle name="열어 본 하이퍼링크" xfId="1390" builtinId="9" hidden="1"/>
    <cellStyle name="열어 본 하이퍼링크" xfId="1392" builtinId="9" hidden="1"/>
    <cellStyle name="열어 본 하이퍼링크" xfId="1394" builtinId="9" hidden="1"/>
    <cellStyle name="열어 본 하이퍼링크" xfId="1396" builtinId="9" hidden="1"/>
    <cellStyle name="열어 본 하이퍼링크" xfId="1398" builtinId="9" hidden="1"/>
    <cellStyle name="열어 본 하이퍼링크" xfId="1400" builtinId="9" hidden="1"/>
    <cellStyle name="열어 본 하이퍼링크" xfId="1402" builtinId="9" hidden="1"/>
    <cellStyle name="열어 본 하이퍼링크" xfId="1404" builtinId="9" hidden="1"/>
    <cellStyle name="열어 본 하이퍼링크" xfId="1406" builtinId="9" hidden="1"/>
    <cellStyle name="열어 본 하이퍼링크" xfId="1408" builtinId="9" hidden="1"/>
    <cellStyle name="열어 본 하이퍼링크" xfId="1410" builtinId="9" hidden="1"/>
    <cellStyle name="열어 본 하이퍼링크" xfId="1412" builtinId="9" hidden="1"/>
    <cellStyle name="열어 본 하이퍼링크" xfId="1414" builtinId="9" hidden="1"/>
    <cellStyle name="열어 본 하이퍼링크" xfId="1416" builtinId="9" hidden="1"/>
    <cellStyle name="열어 본 하이퍼링크" xfId="1418" builtinId="9" hidden="1"/>
    <cellStyle name="열어 본 하이퍼링크" xfId="1420" builtinId="9" hidden="1"/>
    <cellStyle name="열어 본 하이퍼링크" xfId="1422" builtinId="9" hidden="1"/>
    <cellStyle name="열어 본 하이퍼링크" xfId="1424" builtinId="9" hidden="1"/>
    <cellStyle name="열어 본 하이퍼링크" xfId="1426" builtinId="9" hidden="1"/>
    <cellStyle name="열어 본 하이퍼링크" xfId="1428" builtinId="9" hidden="1"/>
    <cellStyle name="열어 본 하이퍼링크" xfId="1430" builtinId="9" hidden="1"/>
    <cellStyle name="열어 본 하이퍼링크" xfId="1432" builtinId="9" hidden="1"/>
    <cellStyle name="열어 본 하이퍼링크" xfId="1434" builtinId="9" hidden="1"/>
    <cellStyle name="열어 본 하이퍼링크" xfId="1436" builtinId="9" hidden="1"/>
    <cellStyle name="열어 본 하이퍼링크" xfId="1438" builtinId="9" hidden="1"/>
    <cellStyle name="열어 본 하이퍼링크" xfId="1440" builtinId="9" hidden="1"/>
    <cellStyle name="열어 본 하이퍼링크" xfId="1442" builtinId="9" hidden="1"/>
    <cellStyle name="열어 본 하이퍼링크" xfId="1444" builtinId="9" hidden="1"/>
    <cellStyle name="열어 본 하이퍼링크" xfId="1446" builtinId="9" hidden="1"/>
    <cellStyle name="열어 본 하이퍼링크" xfId="1448" builtinId="9" hidden="1"/>
    <cellStyle name="열어 본 하이퍼링크" xfId="1450" builtinId="9" hidden="1"/>
    <cellStyle name="열어 본 하이퍼링크" xfId="1452" builtinId="9" hidden="1"/>
    <cellStyle name="열어 본 하이퍼링크" xfId="1454" builtinId="9" hidden="1"/>
    <cellStyle name="열어 본 하이퍼링크" xfId="1456" builtinId="9" hidden="1"/>
    <cellStyle name="열어 본 하이퍼링크" xfId="1458" builtinId="9" hidden="1"/>
    <cellStyle name="열어 본 하이퍼링크" xfId="1460" builtinId="9" hidden="1"/>
    <cellStyle name="열어 본 하이퍼링크" xfId="1462" builtinId="9" hidden="1"/>
    <cellStyle name="열어 본 하이퍼링크" xfId="1464" builtinId="9" hidden="1"/>
    <cellStyle name="열어 본 하이퍼링크" xfId="1466" builtinId="9" hidden="1"/>
    <cellStyle name="열어 본 하이퍼링크" xfId="1468" builtinId="9" hidden="1"/>
    <cellStyle name="열어 본 하이퍼링크" xfId="1470" builtinId="9" hidden="1"/>
    <cellStyle name="열어 본 하이퍼링크" xfId="1472" builtinId="9" hidden="1"/>
    <cellStyle name="열어 본 하이퍼링크" xfId="1474" builtinId="9" hidden="1"/>
    <cellStyle name="열어 본 하이퍼링크" xfId="1476" builtinId="9" hidden="1"/>
    <cellStyle name="열어 본 하이퍼링크" xfId="1478" builtinId="9" hidden="1"/>
    <cellStyle name="열어 본 하이퍼링크" xfId="1480" builtinId="9" hidden="1"/>
    <cellStyle name="열어 본 하이퍼링크" xfId="1482" builtinId="9" hidden="1"/>
    <cellStyle name="열어 본 하이퍼링크" xfId="1484" builtinId="9" hidden="1"/>
    <cellStyle name="열어 본 하이퍼링크" xfId="1486" builtinId="9" hidden="1"/>
    <cellStyle name="열어 본 하이퍼링크" xfId="1488" builtinId="9" hidden="1"/>
    <cellStyle name="열어 본 하이퍼링크" xfId="1490" builtinId="9" hidden="1"/>
    <cellStyle name="열어 본 하이퍼링크" xfId="1492" builtinId="9" hidden="1"/>
    <cellStyle name="열어 본 하이퍼링크" xfId="1494" builtinId="9" hidden="1"/>
    <cellStyle name="열어 본 하이퍼링크" xfId="1496" builtinId="9" hidden="1"/>
    <cellStyle name="열어 본 하이퍼링크" xfId="1498" builtinId="9" hidden="1"/>
    <cellStyle name="열어 본 하이퍼링크" xfId="1500" builtinId="9" hidden="1"/>
    <cellStyle name="열어 본 하이퍼링크" xfId="1502" builtinId="9" hidden="1"/>
    <cellStyle name="열어 본 하이퍼링크" xfId="1504" builtinId="9" hidden="1"/>
    <cellStyle name="열어 본 하이퍼링크" xfId="1506" builtinId="9" hidden="1"/>
    <cellStyle name="열어 본 하이퍼링크" xfId="1508" builtinId="9" hidden="1"/>
    <cellStyle name="열어 본 하이퍼링크" xfId="1510" builtinId="9" hidden="1"/>
    <cellStyle name="열어 본 하이퍼링크" xfId="1512" builtinId="9" hidden="1"/>
    <cellStyle name="열어 본 하이퍼링크" xfId="1514" builtinId="9" hidden="1"/>
    <cellStyle name="열어 본 하이퍼링크" xfId="1516" builtinId="9" hidden="1"/>
    <cellStyle name="열어 본 하이퍼링크" xfId="1518" builtinId="9" hidden="1"/>
    <cellStyle name="열어 본 하이퍼링크" xfId="1520" builtinId="9" hidden="1"/>
    <cellStyle name="열어 본 하이퍼링크" xfId="1522" builtinId="9" hidden="1"/>
    <cellStyle name="열어 본 하이퍼링크" xfId="1524" builtinId="9" hidden="1"/>
    <cellStyle name="열어 본 하이퍼링크" xfId="1526" builtinId="9" hidden="1"/>
    <cellStyle name="열어 본 하이퍼링크" xfId="1528" builtinId="9" hidden="1"/>
    <cellStyle name="열어 본 하이퍼링크" xfId="1530" builtinId="9" hidden="1"/>
    <cellStyle name="열어 본 하이퍼링크" xfId="1532" builtinId="9" hidden="1"/>
    <cellStyle name="열어 본 하이퍼링크" xfId="1534" builtinId="9" hidden="1"/>
    <cellStyle name="열어 본 하이퍼링크" xfId="1536" builtinId="9" hidden="1"/>
    <cellStyle name="열어 본 하이퍼링크" xfId="1538" builtinId="9" hidden="1"/>
    <cellStyle name="열어 본 하이퍼링크" xfId="1540" builtinId="9" hidden="1"/>
    <cellStyle name="열어 본 하이퍼링크" xfId="1542" builtinId="9" hidden="1"/>
    <cellStyle name="열어 본 하이퍼링크" xfId="1544" builtinId="9" hidden="1"/>
    <cellStyle name="열어 본 하이퍼링크" xfId="1546" builtinId="9" hidden="1"/>
    <cellStyle name="열어 본 하이퍼링크" xfId="1548" builtinId="9" hidden="1"/>
    <cellStyle name="열어 본 하이퍼링크" xfId="1550" builtinId="9" hidden="1"/>
    <cellStyle name="열어 본 하이퍼링크" xfId="1552" builtinId="9" hidden="1"/>
    <cellStyle name="열어 본 하이퍼링크" xfId="1554" builtinId="9" hidden="1"/>
    <cellStyle name="열어 본 하이퍼링크" xfId="1556" builtinId="9" hidden="1"/>
    <cellStyle name="열어 본 하이퍼링크" xfId="1558" builtinId="9" hidden="1"/>
    <cellStyle name="열어 본 하이퍼링크" xfId="1560" builtinId="9" hidden="1"/>
    <cellStyle name="열어 본 하이퍼링크" xfId="1562" builtinId="9" hidden="1"/>
    <cellStyle name="열어 본 하이퍼링크" xfId="1564" builtinId="9" hidden="1"/>
    <cellStyle name="열어 본 하이퍼링크" xfId="1566" builtinId="9" hidden="1"/>
    <cellStyle name="열어 본 하이퍼링크" xfId="1568" builtinId="9" hidden="1"/>
    <cellStyle name="열어 본 하이퍼링크" xfId="1570" builtinId="9" hidden="1"/>
    <cellStyle name="열어 본 하이퍼링크" xfId="1572" builtinId="9" hidden="1"/>
    <cellStyle name="열어 본 하이퍼링크" xfId="1574" builtinId="9" hidden="1"/>
    <cellStyle name="열어 본 하이퍼링크" xfId="1576" builtinId="9" hidden="1"/>
    <cellStyle name="열어 본 하이퍼링크" xfId="1578" builtinId="9" hidden="1"/>
    <cellStyle name="열어 본 하이퍼링크" xfId="1580" builtinId="9" hidden="1"/>
    <cellStyle name="열어 본 하이퍼링크" xfId="1582" builtinId="9" hidden="1"/>
    <cellStyle name="열어 본 하이퍼링크" xfId="1584" builtinId="9" hidden="1"/>
    <cellStyle name="열어 본 하이퍼링크" xfId="1586" builtinId="9" hidden="1"/>
    <cellStyle name="열어 본 하이퍼링크" xfId="1588" builtinId="9" hidden="1"/>
    <cellStyle name="열어 본 하이퍼링크" xfId="1590" builtinId="9" hidden="1"/>
    <cellStyle name="열어 본 하이퍼링크" xfId="1592" builtinId="9" hidden="1"/>
    <cellStyle name="열어 본 하이퍼링크" xfId="1594" builtinId="9" hidden="1"/>
    <cellStyle name="열어 본 하이퍼링크" xfId="1596" builtinId="9" hidden="1"/>
    <cellStyle name="열어 본 하이퍼링크" xfId="1598" builtinId="9" hidden="1"/>
    <cellStyle name="열어 본 하이퍼링크" xfId="1600" builtinId="9" hidden="1"/>
    <cellStyle name="열어 본 하이퍼링크" xfId="1602" builtinId="9" hidden="1"/>
    <cellStyle name="열어 본 하이퍼링크" xfId="1604" builtinId="9" hidden="1"/>
    <cellStyle name="열어 본 하이퍼링크" xfId="1606" builtinId="9" hidden="1"/>
    <cellStyle name="열어 본 하이퍼링크" xfId="1608" builtinId="9" hidden="1"/>
    <cellStyle name="열어 본 하이퍼링크" xfId="1610" builtinId="9" hidden="1"/>
    <cellStyle name="열어 본 하이퍼링크" xfId="1612" builtinId="9" hidden="1"/>
    <cellStyle name="열어 본 하이퍼링크" xfId="1614" builtinId="9" hidden="1"/>
    <cellStyle name="열어 본 하이퍼링크" xfId="1616" builtinId="9" hidden="1"/>
    <cellStyle name="열어 본 하이퍼링크" xfId="1618" builtinId="9" hidden="1"/>
    <cellStyle name="열어 본 하이퍼링크" xfId="1620" builtinId="9" hidden="1"/>
    <cellStyle name="열어 본 하이퍼링크" xfId="1622" builtinId="9" hidden="1"/>
    <cellStyle name="열어 본 하이퍼링크" xfId="1624" builtinId="9" hidden="1"/>
    <cellStyle name="열어 본 하이퍼링크" xfId="1626" builtinId="9" hidden="1"/>
    <cellStyle name="열어 본 하이퍼링크" xfId="1628" builtinId="9" hidden="1"/>
    <cellStyle name="열어 본 하이퍼링크" xfId="1630" builtinId="9" hidden="1"/>
    <cellStyle name="열어 본 하이퍼링크" xfId="1632" builtinId="9" hidden="1"/>
    <cellStyle name="열어 본 하이퍼링크" xfId="1634" builtinId="9" hidden="1"/>
    <cellStyle name="열어 본 하이퍼링크" xfId="1636" builtinId="9" hidden="1"/>
    <cellStyle name="열어 본 하이퍼링크" xfId="1638" builtinId="9" hidden="1"/>
    <cellStyle name="열어 본 하이퍼링크" xfId="1640" builtinId="9" hidden="1"/>
    <cellStyle name="열어 본 하이퍼링크" xfId="1642" builtinId="9" hidden="1"/>
    <cellStyle name="열어 본 하이퍼링크" xfId="1644" builtinId="9" hidden="1"/>
    <cellStyle name="열어 본 하이퍼링크" xfId="1646" builtinId="9" hidden="1"/>
    <cellStyle name="열어 본 하이퍼링크" xfId="1648" builtinId="9" hidden="1"/>
    <cellStyle name="열어 본 하이퍼링크" xfId="1650" builtinId="9" hidden="1"/>
    <cellStyle name="열어 본 하이퍼링크" xfId="1652" builtinId="9" hidden="1"/>
    <cellStyle name="열어 본 하이퍼링크" xfId="1654" builtinId="9" hidden="1"/>
    <cellStyle name="열어 본 하이퍼링크" xfId="1656" builtinId="9" hidden="1"/>
    <cellStyle name="열어 본 하이퍼링크" xfId="1658" builtinId="9" hidden="1"/>
    <cellStyle name="열어 본 하이퍼링크" xfId="1660" builtinId="9" hidden="1"/>
    <cellStyle name="열어 본 하이퍼링크" xfId="1662" builtinId="9" hidden="1"/>
    <cellStyle name="열어 본 하이퍼링크" xfId="1664" builtinId="9" hidden="1"/>
    <cellStyle name="열어 본 하이퍼링크" xfId="1666" builtinId="9" hidden="1"/>
    <cellStyle name="열어 본 하이퍼링크" xfId="1668" builtinId="9" hidden="1"/>
    <cellStyle name="열어 본 하이퍼링크" xfId="1670" builtinId="9" hidden="1"/>
    <cellStyle name="열어 본 하이퍼링크" xfId="1672" builtinId="9" hidden="1"/>
    <cellStyle name="열어 본 하이퍼링크" xfId="1674" builtinId="9" hidden="1"/>
    <cellStyle name="열어 본 하이퍼링크" xfId="1676" builtinId="9" hidden="1"/>
    <cellStyle name="열어 본 하이퍼링크" xfId="1678" builtinId="9" hidden="1"/>
    <cellStyle name="열어 본 하이퍼링크" xfId="1680" builtinId="9" hidden="1"/>
    <cellStyle name="열어 본 하이퍼링크" xfId="1682" builtinId="9" hidden="1"/>
    <cellStyle name="열어 본 하이퍼링크" xfId="1684" builtinId="9" hidden="1"/>
    <cellStyle name="열어 본 하이퍼링크" xfId="1686" builtinId="9" hidden="1"/>
    <cellStyle name="열어 본 하이퍼링크" xfId="1688" builtinId="9" hidden="1"/>
    <cellStyle name="열어 본 하이퍼링크" xfId="1690" builtinId="9" hidden="1"/>
    <cellStyle name="열어 본 하이퍼링크" xfId="1692" builtinId="9" hidden="1"/>
    <cellStyle name="열어 본 하이퍼링크" xfId="1694" builtinId="9" hidden="1"/>
    <cellStyle name="열어 본 하이퍼링크" xfId="1696" builtinId="9" hidden="1"/>
    <cellStyle name="열어 본 하이퍼링크" xfId="1698" builtinId="9" hidden="1"/>
    <cellStyle name="열어 본 하이퍼링크" xfId="1700" builtinId="9" hidden="1"/>
    <cellStyle name="열어 본 하이퍼링크" xfId="1702" builtinId="9" hidden="1"/>
    <cellStyle name="열어 본 하이퍼링크" xfId="1704" builtinId="9" hidden="1"/>
    <cellStyle name="열어 본 하이퍼링크" xfId="1706" builtinId="9" hidden="1"/>
    <cellStyle name="열어 본 하이퍼링크" xfId="1708" builtinId="9" hidden="1"/>
    <cellStyle name="열어 본 하이퍼링크" xfId="1710" builtinId="9" hidden="1"/>
    <cellStyle name="열어 본 하이퍼링크" xfId="1712" builtinId="9" hidden="1"/>
    <cellStyle name="열어 본 하이퍼링크" xfId="1714" builtinId="9" hidden="1"/>
    <cellStyle name="열어 본 하이퍼링크" xfId="1716" builtinId="9" hidden="1"/>
    <cellStyle name="열어 본 하이퍼링크" xfId="1718" builtinId="9" hidden="1"/>
    <cellStyle name="열어 본 하이퍼링크" xfId="1720" builtinId="9" hidden="1"/>
    <cellStyle name="열어 본 하이퍼링크" xfId="1722" builtinId="9" hidden="1"/>
    <cellStyle name="열어 본 하이퍼링크" xfId="1724" builtinId="9" hidden="1"/>
    <cellStyle name="열어 본 하이퍼링크" xfId="1726" builtinId="9" hidden="1"/>
    <cellStyle name="열어 본 하이퍼링크" xfId="1728" builtinId="9" hidden="1"/>
    <cellStyle name="열어 본 하이퍼링크" xfId="1730" builtinId="9" hidden="1"/>
    <cellStyle name="열어 본 하이퍼링크" xfId="1732" builtinId="9" hidden="1"/>
    <cellStyle name="열어 본 하이퍼링크" xfId="1734" builtinId="9" hidden="1"/>
    <cellStyle name="열어 본 하이퍼링크" xfId="1736" builtinId="9" hidden="1"/>
    <cellStyle name="열어 본 하이퍼링크" xfId="1738" builtinId="9" hidden="1"/>
    <cellStyle name="열어 본 하이퍼링크" xfId="1740" builtinId="9" hidden="1"/>
    <cellStyle name="열어 본 하이퍼링크" xfId="1742" builtinId="9" hidden="1"/>
    <cellStyle name="열어 본 하이퍼링크" xfId="1744" builtinId="9" hidden="1"/>
    <cellStyle name="열어 본 하이퍼링크" xfId="1746" builtinId="9" hidden="1"/>
    <cellStyle name="열어 본 하이퍼링크" xfId="1748" builtinId="9" hidden="1"/>
    <cellStyle name="열어 본 하이퍼링크" xfId="1750" builtinId="9" hidden="1"/>
    <cellStyle name="열어 본 하이퍼링크" xfId="1752" builtinId="9" hidden="1"/>
    <cellStyle name="열어 본 하이퍼링크" xfId="1754" builtinId="9" hidden="1"/>
    <cellStyle name="열어 본 하이퍼링크" xfId="1756" builtinId="9" hidden="1"/>
    <cellStyle name="열어 본 하이퍼링크" xfId="1758" builtinId="9" hidden="1"/>
    <cellStyle name="열어 본 하이퍼링크" xfId="1760" builtinId="9" hidden="1"/>
    <cellStyle name="열어 본 하이퍼링크" xfId="1762" builtinId="9" hidden="1"/>
    <cellStyle name="열어 본 하이퍼링크" xfId="1764" builtinId="9" hidden="1"/>
    <cellStyle name="열어 본 하이퍼링크" xfId="1766" builtinId="9" hidden="1"/>
    <cellStyle name="열어 본 하이퍼링크" xfId="1768" builtinId="9" hidden="1"/>
    <cellStyle name="열어 본 하이퍼링크" xfId="1770" builtinId="9" hidden="1"/>
    <cellStyle name="열어 본 하이퍼링크" xfId="1772" builtinId="9" hidden="1"/>
    <cellStyle name="열어 본 하이퍼링크" xfId="1774" builtinId="9" hidden="1"/>
    <cellStyle name="열어 본 하이퍼링크" xfId="1776" builtinId="9" hidden="1"/>
    <cellStyle name="열어 본 하이퍼링크" xfId="1778" builtinId="9" hidden="1"/>
    <cellStyle name="열어 본 하이퍼링크" xfId="1780" builtinId="9" hidden="1"/>
    <cellStyle name="열어 본 하이퍼링크" xfId="1782" builtinId="9" hidden="1"/>
    <cellStyle name="열어 본 하이퍼링크" xfId="1784" builtinId="9" hidden="1"/>
    <cellStyle name="열어 본 하이퍼링크" xfId="1786" builtinId="9" hidden="1"/>
    <cellStyle name="열어 본 하이퍼링크" xfId="1788" builtinId="9" hidden="1"/>
    <cellStyle name="열어 본 하이퍼링크" xfId="1790" builtinId="9" hidden="1"/>
    <cellStyle name="열어 본 하이퍼링크" xfId="1792" builtinId="9" hidden="1"/>
    <cellStyle name="열어 본 하이퍼링크" xfId="1794" builtinId="9" hidden="1"/>
    <cellStyle name="열어 본 하이퍼링크" xfId="1796" builtinId="9" hidden="1"/>
    <cellStyle name="열어 본 하이퍼링크" xfId="1798" builtinId="9" hidden="1"/>
    <cellStyle name="열어 본 하이퍼링크" xfId="1800" builtinId="9" hidden="1"/>
    <cellStyle name="열어 본 하이퍼링크" xfId="1802" builtinId="9" hidden="1"/>
    <cellStyle name="열어 본 하이퍼링크" xfId="1804" builtinId="9" hidden="1"/>
    <cellStyle name="열어 본 하이퍼링크" xfId="1806" builtinId="9" hidden="1"/>
    <cellStyle name="열어 본 하이퍼링크" xfId="1808" builtinId="9" hidden="1"/>
    <cellStyle name="열어 본 하이퍼링크" xfId="1810" builtinId="9" hidden="1"/>
    <cellStyle name="열어 본 하이퍼링크" xfId="1812" builtinId="9" hidden="1"/>
    <cellStyle name="열어 본 하이퍼링크" xfId="1814" builtinId="9" hidden="1"/>
    <cellStyle name="열어 본 하이퍼링크" xfId="1816" builtinId="9" hidden="1"/>
    <cellStyle name="열어 본 하이퍼링크" xfId="1818" builtinId="9" hidden="1"/>
    <cellStyle name="열어 본 하이퍼링크" xfId="1820" builtinId="9" hidden="1"/>
    <cellStyle name="열어 본 하이퍼링크" xfId="1822" builtinId="9" hidden="1"/>
    <cellStyle name="열어 본 하이퍼링크" xfId="1824" builtinId="9" hidden="1"/>
    <cellStyle name="열어 본 하이퍼링크" xfId="1826" builtinId="9" hidden="1"/>
    <cellStyle name="열어 본 하이퍼링크" xfId="1828" builtinId="9" hidden="1"/>
    <cellStyle name="열어 본 하이퍼링크" xfId="1830" builtinId="9" hidden="1"/>
    <cellStyle name="열어 본 하이퍼링크" xfId="1832" builtinId="9" hidden="1"/>
    <cellStyle name="열어 본 하이퍼링크" xfId="1834" builtinId="9" hidden="1"/>
    <cellStyle name="열어 본 하이퍼링크" xfId="1836" builtinId="9" hidden="1"/>
    <cellStyle name="열어 본 하이퍼링크" xfId="1838" builtinId="9" hidden="1"/>
    <cellStyle name="열어 본 하이퍼링크" xfId="1840" builtinId="9" hidden="1"/>
    <cellStyle name="열어 본 하이퍼링크" xfId="1842" builtinId="9" hidden="1"/>
    <cellStyle name="열어 본 하이퍼링크" xfId="1844" builtinId="9" hidden="1"/>
    <cellStyle name="열어 본 하이퍼링크" xfId="1846" builtinId="9" hidden="1"/>
    <cellStyle name="열어 본 하이퍼링크" xfId="1848" builtinId="9" hidden="1"/>
    <cellStyle name="열어 본 하이퍼링크" xfId="1850" builtinId="9" hidden="1"/>
    <cellStyle name="열어 본 하이퍼링크" xfId="1852" builtinId="9" hidden="1"/>
    <cellStyle name="열어 본 하이퍼링크" xfId="1854" builtinId="9" hidden="1"/>
    <cellStyle name="열어 본 하이퍼링크" xfId="1856" builtinId="9" hidden="1"/>
    <cellStyle name="열어 본 하이퍼링크" xfId="1858" builtinId="9" hidden="1"/>
    <cellStyle name="열어 본 하이퍼링크" xfId="1860" builtinId="9" hidden="1"/>
    <cellStyle name="열어 본 하이퍼링크" xfId="1862" builtinId="9" hidden="1"/>
    <cellStyle name="열어 본 하이퍼링크" xfId="1864" builtinId="9" hidden="1"/>
    <cellStyle name="열어 본 하이퍼링크" xfId="1866" builtinId="9" hidden="1"/>
    <cellStyle name="열어 본 하이퍼링크" xfId="1868" builtinId="9" hidden="1"/>
    <cellStyle name="열어 본 하이퍼링크" xfId="1870" builtinId="9" hidden="1"/>
    <cellStyle name="열어 본 하이퍼링크" xfId="1872" builtinId="9" hidden="1"/>
    <cellStyle name="열어 본 하이퍼링크" xfId="1874" builtinId="9" hidden="1"/>
    <cellStyle name="열어 본 하이퍼링크" xfId="1876" builtinId="9" hidden="1"/>
    <cellStyle name="열어 본 하이퍼링크" xfId="1878" builtinId="9" hidden="1"/>
    <cellStyle name="열어 본 하이퍼링크" xfId="1880" builtinId="9" hidden="1"/>
    <cellStyle name="열어 본 하이퍼링크" xfId="1882" builtinId="9" hidden="1"/>
    <cellStyle name="열어 본 하이퍼링크" xfId="1884" builtinId="9" hidden="1"/>
    <cellStyle name="열어 본 하이퍼링크" xfId="1886" builtinId="9" hidden="1"/>
    <cellStyle name="열어 본 하이퍼링크" xfId="1888" builtinId="9" hidden="1"/>
    <cellStyle name="열어 본 하이퍼링크" xfId="1890" builtinId="9" hidden="1"/>
    <cellStyle name="열어 본 하이퍼링크" xfId="1892" builtinId="9" hidden="1"/>
    <cellStyle name="열어 본 하이퍼링크" xfId="1894" builtinId="9" hidden="1"/>
    <cellStyle name="열어 본 하이퍼링크" xfId="1896" builtinId="9" hidden="1"/>
    <cellStyle name="열어 본 하이퍼링크" xfId="1898" builtinId="9" hidden="1"/>
    <cellStyle name="열어 본 하이퍼링크" xfId="1900" builtinId="9" hidden="1"/>
    <cellStyle name="열어 본 하이퍼링크" xfId="1902" builtinId="9" hidden="1"/>
    <cellStyle name="열어 본 하이퍼링크" xfId="1904" builtinId="9" hidden="1"/>
    <cellStyle name="열어 본 하이퍼링크" xfId="1906" builtinId="9" hidden="1"/>
    <cellStyle name="열어 본 하이퍼링크" xfId="1908" builtinId="9" hidden="1"/>
    <cellStyle name="열어 본 하이퍼링크" xfId="1910" builtinId="9" hidden="1"/>
    <cellStyle name="열어 본 하이퍼링크" xfId="1912" builtinId="9" hidden="1"/>
    <cellStyle name="열어 본 하이퍼링크" xfId="1914" builtinId="9" hidden="1"/>
    <cellStyle name="열어 본 하이퍼링크" xfId="1916" builtinId="9" hidden="1"/>
    <cellStyle name="열어 본 하이퍼링크" xfId="1918" builtinId="9" hidden="1"/>
    <cellStyle name="열어 본 하이퍼링크" xfId="1920" builtinId="9" hidden="1"/>
    <cellStyle name="열어 본 하이퍼링크" xfId="1922" builtinId="9" hidden="1"/>
    <cellStyle name="열어 본 하이퍼링크" xfId="1924" builtinId="9" hidden="1"/>
    <cellStyle name="열어 본 하이퍼링크" xfId="1926" builtinId="9" hidden="1"/>
    <cellStyle name="열어 본 하이퍼링크" xfId="1928" builtinId="9" hidden="1"/>
    <cellStyle name="열어 본 하이퍼링크" xfId="1930" builtinId="9" hidden="1"/>
    <cellStyle name="열어 본 하이퍼링크" xfId="1932" builtinId="9" hidden="1"/>
    <cellStyle name="열어 본 하이퍼링크" xfId="1934" builtinId="9" hidden="1"/>
    <cellStyle name="열어 본 하이퍼링크" xfId="1936" builtinId="9" hidden="1"/>
    <cellStyle name="열어 본 하이퍼링크" xfId="1938" builtinId="9" hidden="1"/>
    <cellStyle name="열어 본 하이퍼링크" xfId="1940" builtinId="9" hidden="1"/>
    <cellStyle name="열어 본 하이퍼링크" xfId="1942" builtinId="9" hidden="1"/>
    <cellStyle name="열어 본 하이퍼링크" xfId="1944" builtinId="9" hidden="1"/>
    <cellStyle name="열어 본 하이퍼링크" xfId="1946" builtinId="9" hidden="1"/>
    <cellStyle name="열어 본 하이퍼링크" xfId="1948" builtinId="9" hidden="1"/>
    <cellStyle name="열어 본 하이퍼링크" xfId="1950" builtinId="9" hidden="1"/>
    <cellStyle name="열어 본 하이퍼링크" xfId="1952" builtinId="9" hidden="1"/>
    <cellStyle name="열어 본 하이퍼링크" xfId="1954" builtinId="9" hidden="1"/>
    <cellStyle name="열어 본 하이퍼링크" xfId="1956" builtinId="9" hidden="1"/>
    <cellStyle name="열어 본 하이퍼링크" xfId="1958" builtinId="9" hidden="1"/>
    <cellStyle name="열어 본 하이퍼링크" xfId="1960" builtinId="9" hidden="1"/>
    <cellStyle name="열어 본 하이퍼링크" xfId="1962" builtinId="9" hidden="1"/>
    <cellStyle name="열어 본 하이퍼링크" xfId="1964" builtinId="9" hidden="1"/>
    <cellStyle name="열어 본 하이퍼링크" xfId="1966" builtinId="9" hidden="1"/>
    <cellStyle name="열어 본 하이퍼링크" xfId="1968" builtinId="9" hidden="1"/>
    <cellStyle name="열어 본 하이퍼링크" xfId="1970" builtinId="9" hidden="1"/>
    <cellStyle name="열어 본 하이퍼링크" xfId="1972" builtinId="9" hidden="1"/>
    <cellStyle name="열어 본 하이퍼링크" xfId="1974" builtinId="9" hidden="1"/>
    <cellStyle name="열어 본 하이퍼링크" xfId="1976" builtinId="9" hidden="1"/>
    <cellStyle name="열어 본 하이퍼링크" xfId="1978" builtinId="9" hidden="1"/>
    <cellStyle name="열어 본 하이퍼링크" xfId="1980" builtinId="9" hidden="1"/>
    <cellStyle name="열어 본 하이퍼링크" xfId="1982" builtinId="9" hidden="1"/>
    <cellStyle name="열어 본 하이퍼링크" xfId="1984" builtinId="9" hidden="1"/>
    <cellStyle name="열어 본 하이퍼링크" xfId="1986" builtinId="9" hidden="1"/>
    <cellStyle name="열어 본 하이퍼링크" xfId="1988" builtinId="9" hidden="1"/>
    <cellStyle name="열어 본 하이퍼링크" xfId="1990" builtinId="9" hidden="1"/>
    <cellStyle name="열어 본 하이퍼링크" xfId="1992" builtinId="9" hidden="1"/>
    <cellStyle name="열어 본 하이퍼링크" xfId="1994" builtinId="9" hidden="1"/>
    <cellStyle name="열어 본 하이퍼링크" xfId="1996" builtinId="9" hidden="1"/>
    <cellStyle name="열어 본 하이퍼링크" xfId="1998" builtinId="9" hidden="1"/>
    <cellStyle name="열어 본 하이퍼링크" xfId="2000" builtinId="9" hidden="1"/>
    <cellStyle name="열어 본 하이퍼링크" xfId="2002" builtinId="9" hidden="1"/>
    <cellStyle name="열어 본 하이퍼링크" xfId="2004" builtinId="9" hidden="1"/>
    <cellStyle name="열어 본 하이퍼링크" xfId="2006" builtinId="9" hidden="1"/>
    <cellStyle name="열어 본 하이퍼링크" xfId="2008" builtinId="9" hidden="1"/>
    <cellStyle name="열어 본 하이퍼링크" xfId="2010" builtinId="9" hidden="1"/>
    <cellStyle name="열어 본 하이퍼링크" xfId="2012" builtinId="9" hidden="1"/>
    <cellStyle name="열어 본 하이퍼링크" xfId="2014" builtinId="9" hidden="1"/>
    <cellStyle name="열어 본 하이퍼링크" xfId="2016" builtinId="9" hidden="1"/>
    <cellStyle name="열어 본 하이퍼링크" xfId="2018" builtinId="9" hidden="1"/>
    <cellStyle name="열어 본 하이퍼링크" xfId="2020" builtinId="9" hidden="1"/>
    <cellStyle name="열어 본 하이퍼링크" xfId="2022" builtinId="9" hidden="1"/>
    <cellStyle name="열어 본 하이퍼링크" xfId="2024" builtinId="9" hidden="1"/>
    <cellStyle name="열어 본 하이퍼링크" xfId="2026" builtinId="9" hidden="1"/>
    <cellStyle name="열어 본 하이퍼링크" xfId="2028" builtinId="9" hidden="1"/>
    <cellStyle name="열어 본 하이퍼링크" xfId="2030" builtinId="9" hidden="1"/>
    <cellStyle name="열어 본 하이퍼링크" xfId="2032" builtinId="9" hidden="1"/>
    <cellStyle name="열어 본 하이퍼링크" xfId="2034" builtinId="9" hidden="1"/>
    <cellStyle name="열어 본 하이퍼링크" xfId="2036" builtinId="9" hidden="1"/>
    <cellStyle name="열어 본 하이퍼링크" xfId="2038" builtinId="9" hidden="1"/>
    <cellStyle name="열어 본 하이퍼링크" xfId="2040" builtinId="9" hidden="1"/>
    <cellStyle name="열어 본 하이퍼링크" xfId="2042" builtinId="9" hidden="1"/>
    <cellStyle name="열어 본 하이퍼링크" xfId="2044" builtinId="9" hidden="1"/>
    <cellStyle name="열어 본 하이퍼링크" xfId="2046" builtinId="9" hidden="1"/>
    <cellStyle name="열어 본 하이퍼링크" xfId="2048" builtinId="9" hidden="1"/>
    <cellStyle name="열어 본 하이퍼링크" xfId="2050" builtinId="9" hidden="1"/>
    <cellStyle name="열어 본 하이퍼링크" xfId="2052" builtinId="9" hidden="1"/>
    <cellStyle name="열어 본 하이퍼링크" xfId="2054" builtinId="9" hidden="1"/>
    <cellStyle name="열어 본 하이퍼링크" xfId="2056" builtinId="9" hidden="1"/>
    <cellStyle name="열어 본 하이퍼링크" xfId="2058" builtinId="9" hidden="1"/>
    <cellStyle name="열어 본 하이퍼링크" xfId="2060" builtinId="9" hidden="1"/>
    <cellStyle name="열어 본 하이퍼링크" xfId="2062" builtinId="9" hidden="1"/>
    <cellStyle name="열어 본 하이퍼링크" xfId="2064" builtinId="9" hidden="1"/>
    <cellStyle name="열어 본 하이퍼링크" xfId="2066" builtinId="9" hidden="1"/>
    <cellStyle name="열어 본 하이퍼링크" xfId="2068" builtinId="9" hidden="1"/>
    <cellStyle name="열어 본 하이퍼링크" xfId="2070" builtinId="9" hidden="1"/>
    <cellStyle name="열어 본 하이퍼링크" xfId="2072" builtinId="9" hidden="1"/>
    <cellStyle name="열어 본 하이퍼링크" xfId="2074" builtinId="9" hidden="1"/>
    <cellStyle name="열어 본 하이퍼링크" xfId="2076" builtinId="9" hidden="1"/>
    <cellStyle name="열어 본 하이퍼링크" xfId="2078" builtinId="9" hidden="1"/>
    <cellStyle name="열어 본 하이퍼링크" xfId="2080" builtinId="9" hidden="1"/>
    <cellStyle name="열어 본 하이퍼링크" xfId="2082" builtinId="9" hidden="1"/>
    <cellStyle name="열어 본 하이퍼링크" xfId="2084" builtinId="9" hidden="1"/>
    <cellStyle name="열어 본 하이퍼링크" xfId="2086" builtinId="9" hidden="1"/>
    <cellStyle name="열어 본 하이퍼링크" xfId="2088" builtinId="9" hidden="1"/>
    <cellStyle name="열어 본 하이퍼링크" xfId="2090" builtinId="9" hidden="1"/>
    <cellStyle name="열어 본 하이퍼링크" xfId="2092" builtinId="9" hidden="1"/>
    <cellStyle name="열어 본 하이퍼링크" xfId="2094" builtinId="9" hidden="1"/>
    <cellStyle name="열어 본 하이퍼링크" xfId="2096" builtinId="9" hidden="1"/>
    <cellStyle name="열어 본 하이퍼링크" xfId="2098" builtinId="9" hidden="1"/>
    <cellStyle name="열어 본 하이퍼링크" xfId="2100" builtinId="9" hidden="1"/>
    <cellStyle name="열어 본 하이퍼링크" xfId="2102" builtinId="9" hidden="1"/>
    <cellStyle name="열어 본 하이퍼링크" xfId="2104" builtinId="9" hidden="1"/>
    <cellStyle name="열어 본 하이퍼링크" xfId="2106" builtinId="9" hidden="1"/>
    <cellStyle name="열어 본 하이퍼링크" xfId="2108" builtinId="9" hidden="1"/>
    <cellStyle name="열어 본 하이퍼링크" xfId="2110" builtinId="9" hidden="1"/>
    <cellStyle name="열어 본 하이퍼링크" xfId="2112" builtinId="9" hidden="1"/>
    <cellStyle name="열어 본 하이퍼링크" xfId="2114" builtinId="9" hidden="1"/>
    <cellStyle name="열어 본 하이퍼링크" xfId="2116" builtinId="9" hidden="1"/>
    <cellStyle name="열어 본 하이퍼링크" xfId="2118" builtinId="9" hidden="1"/>
    <cellStyle name="열어 본 하이퍼링크" xfId="2120" builtinId="9" hidden="1"/>
    <cellStyle name="열어 본 하이퍼링크" xfId="2122" builtinId="9" hidden="1"/>
    <cellStyle name="열어 본 하이퍼링크" xfId="2124" builtinId="9" hidden="1"/>
    <cellStyle name="열어 본 하이퍼링크" xfId="2126" builtinId="9" hidden="1"/>
    <cellStyle name="열어 본 하이퍼링크" xfId="2128" builtinId="9" hidden="1"/>
    <cellStyle name="열어 본 하이퍼링크" xfId="2130" builtinId="9" hidden="1"/>
    <cellStyle name="열어 본 하이퍼링크" xfId="2132" builtinId="9" hidden="1"/>
    <cellStyle name="열어 본 하이퍼링크" xfId="2134" builtinId="9" hidden="1"/>
    <cellStyle name="열어 본 하이퍼링크" xfId="2136" builtinId="9" hidden="1"/>
    <cellStyle name="열어 본 하이퍼링크" xfId="2138" builtinId="9" hidden="1"/>
    <cellStyle name="열어 본 하이퍼링크" xfId="2140" builtinId="9" hidden="1"/>
    <cellStyle name="열어 본 하이퍼링크" xfId="2142" builtinId="9" hidden="1"/>
    <cellStyle name="열어 본 하이퍼링크" xfId="2144" builtinId="9" hidden="1"/>
    <cellStyle name="열어 본 하이퍼링크" xfId="2146" builtinId="9" hidden="1"/>
    <cellStyle name="열어 본 하이퍼링크" xfId="2148" builtinId="9" hidden="1"/>
    <cellStyle name="열어 본 하이퍼링크" xfId="2150" builtinId="9" hidden="1"/>
    <cellStyle name="열어 본 하이퍼링크" xfId="2152" builtinId="9" hidden="1"/>
    <cellStyle name="열어 본 하이퍼링크" xfId="2154" builtinId="9" hidden="1"/>
    <cellStyle name="열어 본 하이퍼링크" xfId="2156" builtinId="9" hidden="1"/>
    <cellStyle name="열어 본 하이퍼링크" xfId="2158" builtinId="9" hidden="1"/>
    <cellStyle name="열어 본 하이퍼링크" xfId="2160" builtinId="9" hidden="1"/>
    <cellStyle name="열어 본 하이퍼링크" xfId="2162" builtinId="9" hidden="1"/>
    <cellStyle name="열어 본 하이퍼링크" xfId="2164" builtinId="9" hidden="1"/>
    <cellStyle name="열어 본 하이퍼링크" xfId="2166" builtinId="9" hidden="1"/>
    <cellStyle name="열어 본 하이퍼링크" xfId="2168" builtinId="9" hidden="1"/>
    <cellStyle name="열어 본 하이퍼링크" xfId="2170" builtinId="9" hidden="1"/>
    <cellStyle name="열어 본 하이퍼링크" xfId="2172" builtinId="9" hidden="1"/>
    <cellStyle name="열어 본 하이퍼링크" xfId="2174" builtinId="9" hidden="1"/>
    <cellStyle name="열어 본 하이퍼링크" xfId="2176" builtinId="9" hidden="1"/>
    <cellStyle name="열어 본 하이퍼링크" xfId="2178" builtinId="9" hidden="1"/>
    <cellStyle name="열어 본 하이퍼링크" xfId="2180" builtinId="9" hidden="1"/>
    <cellStyle name="열어 본 하이퍼링크" xfId="2182" builtinId="9" hidden="1"/>
    <cellStyle name="열어 본 하이퍼링크" xfId="2184" builtinId="9" hidden="1"/>
    <cellStyle name="열어 본 하이퍼링크" xfId="2186" builtinId="9" hidden="1"/>
    <cellStyle name="열어 본 하이퍼링크" xfId="2188" builtinId="9" hidden="1"/>
    <cellStyle name="열어 본 하이퍼링크" xfId="2190" builtinId="9" hidden="1"/>
    <cellStyle name="열어 본 하이퍼링크" xfId="2192" builtinId="9" hidden="1"/>
    <cellStyle name="열어 본 하이퍼링크" xfId="2194" builtinId="9" hidden="1"/>
    <cellStyle name="열어 본 하이퍼링크" xfId="2196" builtinId="9" hidden="1"/>
    <cellStyle name="열어 본 하이퍼링크" xfId="2198" builtinId="9" hidden="1"/>
    <cellStyle name="열어 본 하이퍼링크" xfId="2200" builtinId="9" hidden="1"/>
    <cellStyle name="열어 본 하이퍼링크" xfId="2202" builtinId="9" hidden="1"/>
    <cellStyle name="열어 본 하이퍼링크" xfId="2204" builtinId="9" hidden="1"/>
    <cellStyle name="열어 본 하이퍼링크" xfId="2206" builtinId="9" hidden="1"/>
    <cellStyle name="열어 본 하이퍼링크" xfId="2208" builtinId="9" hidden="1"/>
    <cellStyle name="열어 본 하이퍼링크" xfId="2210" builtinId="9" hidden="1"/>
    <cellStyle name="열어 본 하이퍼링크" xfId="2212" builtinId="9" hidden="1"/>
    <cellStyle name="열어 본 하이퍼링크" xfId="2214" builtinId="9" hidden="1"/>
    <cellStyle name="열어 본 하이퍼링크" xfId="2216" builtinId="9" hidden="1"/>
    <cellStyle name="열어 본 하이퍼링크" xfId="2218" builtinId="9" hidden="1"/>
    <cellStyle name="열어 본 하이퍼링크" xfId="2220" builtinId="9" hidden="1"/>
    <cellStyle name="열어 본 하이퍼링크" xfId="2222" builtinId="9" hidden="1"/>
    <cellStyle name="열어 본 하이퍼링크" xfId="2224" builtinId="9" hidden="1"/>
    <cellStyle name="열어 본 하이퍼링크" xfId="2226" builtinId="9" hidden="1"/>
    <cellStyle name="열어 본 하이퍼링크" xfId="2228" builtinId="9" hidden="1"/>
    <cellStyle name="열어 본 하이퍼링크" xfId="2230" builtinId="9" hidden="1"/>
    <cellStyle name="열어 본 하이퍼링크" xfId="2232" builtinId="9" hidden="1"/>
    <cellStyle name="열어 본 하이퍼링크" xfId="2234" builtinId="9" hidden="1"/>
    <cellStyle name="열어 본 하이퍼링크" xfId="2236" builtinId="9" hidden="1"/>
    <cellStyle name="열어 본 하이퍼링크" xfId="2238" builtinId="9" hidden="1"/>
    <cellStyle name="열어 본 하이퍼링크" xfId="2240" builtinId="9" hidden="1"/>
    <cellStyle name="열어 본 하이퍼링크" xfId="2242" builtinId="9" hidden="1"/>
    <cellStyle name="열어 본 하이퍼링크" xfId="2244" builtinId="9" hidden="1"/>
    <cellStyle name="열어 본 하이퍼링크" xfId="2246" builtinId="9" hidden="1"/>
    <cellStyle name="열어 본 하이퍼링크" xfId="2248" builtinId="9" hidden="1"/>
    <cellStyle name="열어 본 하이퍼링크" xfId="2250" builtinId="9" hidden="1"/>
    <cellStyle name="열어 본 하이퍼링크" xfId="2252" builtinId="9" hidden="1"/>
    <cellStyle name="열어 본 하이퍼링크" xfId="2254" builtinId="9" hidden="1"/>
    <cellStyle name="열어 본 하이퍼링크" xfId="2256" builtinId="9" hidden="1"/>
    <cellStyle name="열어 본 하이퍼링크" xfId="2258" builtinId="9" hidden="1"/>
    <cellStyle name="열어 본 하이퍼링크" xfId="2260" builtinId="9" hidden="1"/>
    <cellStyle name="열어 본 하이퍼링크" xfId="2262" builtinId="9" hidden="1"/>
    <cellStyle name="열어 본 하이퍼링크" xfId="2264" builtinId="9" hidden="1"/>
    <cellStyle name="열어 본 하이퍼링크" xfId="2266" builtinId="9" hidden="1"/>
    <cellStyle name="열어 본 하이퍼링크" xfId="2268" builtinId="9" hidden="1"/>
    <cellStyle name="열어 본 하이퍼링크" xfId="2270" builtinId="9" hidden="1"/>
    <cellStyle name="열어 본 하이퍼링크" xfId="2272" builtinId="9" hidden="1"/>
    <cellStyle name="열어 본 하이퍼링크" xfId="2274" builtinId="9" hidden="1"/>
    <cellStyle name="열어 본 하이퍼링크" xfId="2276" builtinId="9" hidden="1"/>
    <cellStyle name="열어 본 하이퍼링크" xfId="2278" builtinId="9" hidden="1"/>
    <cellStyle name="열어 본 하이퍼링크" xfId="2280" builtinId="9" hidden="1"/>
    <cellStyle name="열어 본 하이퍼링크" xfId="2282" builtinId="9" hidden="1"/>
    <cellStyle name="열어 본 하이퍼링크" xfId="2284" builtinId="9" hidden="1"/>
    <cellStyle name="열어 본 하이퍼링크" xfId="2286" builtinId="9" hidden="1"/>
    <cellStyle name="열어 본 하이퍼링크" xfId="2288" builtinId="9" hidden="1"/>
    <cellStyle name="열어 본 하이퍼링크" xfId="2290" builtinId="9" hidden="1"/>
    <cellStyle name="열어 본 하이퍼링크" xfId="2292" builtinId="9" hidden="1"/>
    <cellStyle name="열어 본 하이퍼링크" xfId="2294" builtinId="9" hidden="1"/>
    <cellStyle name="열어 본 하이퍼링크" xfId="2296" builtinId="9" hidden="1"/>
    <cellStyle name="열어 본 하이퍼링크" xfId="2298" builtinId="9" hidden="1"/>
    <cellStyle name="열어 본 하이퍼링크" xfId="2300" builtinId="9" hidden="1"/>
    <cellStyle name="열어 본 하이퍼링크" xfId="2302" builtinId="9" hidden="1"/>
    <cellStyle name="열어 본 하이퍼링크" xfId="2304" builtinId="9" hidden="1"/>
    <cellStyle name="열어 본 하이퍼링크" xfId="2306" builtinId="9" hidden="1"/>
    <cellStyle name="열어 본 하이퍼링크" xfId="2308" builtinId="9" hidden="1"/>
    <cellStyle name="열어 본 하이퍼링크" xfId="2310" builtinId="9" hidden="1"/>
    <cellStyle name="열어 본 하이퍼링크" xfId="2312" builtinId="9" hidden="1"/>
    <cellStyle name="열어 본 하이퍼링크" xfId="2314" builtinId="9" hidden="1"/>
    <cellStyle name="열어 본 하이퍼링크" xfId="2316" builtinId="9" hidden="1"/>
    <cellStyle name="열어 본 하이퍼링크" xfId="2318" builtinId="9" hidden="1"/>
    <cellStyle name="열어 본 하이퍼링크" xfId="2320" builtinId="9" hidden="1"/>
    <cellStyle name="열어 본 하이퍼링크" xfId="2322" builtinId="9" hidden="1"/>
    <cellStyle name="열어 본 하이퍼링크" xfId="2324" builtinId="9" hidden="1"/>
    <cellStyle name="열어 본 하이퍼링크" xfId="2326" builtinId="9" hidden="1"/>
    <cellStyle name="열어 본 하이퍼링크" xfId="2328" builtinId="9" hidden="1"/>
    <cellStyle name="열어 본 하이퍼링크" xfId="2330" builtinId="9" hidden="1"/>
    <cellStyle name="열어 본 하이퍼링크" xfId="2332" builtinId="9" hidden="1"/>
    <cellStyle name="열어 본 하이퍼링크" xfId="2334" builtinId="9" hidden="1"/>
    <cellStyle name="열어 본 하이퍼링크" xfId="2336" builtinId="9" hidden="1"/>
    <cellStyle name="열어 본 하이퍼링크" xfId="2338" builtinId="9" hidden="1"/>
    <cellStyle name="열어 본 하이퍼링크" xfId="2340" builtinId="9" hidden="1"/>
    <cellStyle name="열어 본 하이퍼링크" xfId="2342" builtinId="9" hidden="1"/>
    <cellStyle name="열어 본 하이퍼링크" xfId="2344" builtinId="9" hidden="1"/>
    <cellStyle name="열어 본 하이퍼링크" xfId="2346" builtinId="9" hidden="1"/>
    <cellStyle name="열어 본 하이퍼링크" xfId="2348" builtinId="9" hidden="1"/>
    <cellStyle name="열어 본 하이퍼링크" xfId="2350" builtinId="9" hidden="1"/>
    <cellStyle name="열어 본 하이퍼링크" xfId="2352" builtinId="9" hidden="1"/>
    <cellStyle name="열어 본 하이퍼링크" xfId="2354" builtinId="9" hidden="1"/>
    <cellStyle name="열어 본 하이퍼링크" xfId="2356" builtinId="9" hidden="1"/>
    <cellStyle name="열어 본 하이퍼링크" xfId="2358" builtinId="9" hidden="1"/>
    <cellStyle name="열어 본 하이퍼링크" xfId="2360" builtinId="9" hidden="1"/>
    <cellStyle name="열어 본 하이퍼링크" xfId="2362" builtinId="9" hidden="1"/>
    <cellStyle name="열어 본 하이퍼링크" xfId="2364" builtinId="9" hidden="1"/>
    <cellStyle name="열어 본 하이퍼링크" xfId="2366" builtinId="9" hidden="1"/>
    <cellStyle name="열어 본 하이퍼링크" xfId="2368" builtinId="9" hidden="1"/>
    <cellStyle name="열어 본 하이퍼링크" xfId="2370" builtinId="9" hidden="1"/>
    <cellStyle name="열어 본 하이퍼링크" xfId="2372" builtinId="9" hidden="1"/>
    <cellStyle name="열어 본 하이퍼링크" xfId="2374" builtinId="9" hidden="1"/>
    <cellStyle name="열어 본 하이퍼링크" xfId="2376" builtinId="9" hidden="1"/>
    <cellStyle name="열어 본 하이퍼링크" xfId="2378" builtinId="9" hidden="1"/>
    <cellStyle name="열어 본 하이퍼링크" xfId="2380" builtinId="9" hidden="1"/>
    <cellStyle name="열어 본 하이퍼링크" xfId="2382" builtinId="9" hidden="1"/>
    <cellStyle name="열어 본 하이퍼링크" xfId="2384" builtinId="9" hidden="1"/>
    <cellStyle name="열어 본 하이퍼링크" xfId="2386" builtinId="9" hidden="1"/>
    <cellStyle name="열어 본 하이퍼링크" xfId="2388" builtinId="9" hidden="1"/>
    <cellStyle name="열어 본 하이퍼링크" xfId="2390" builtinId="9" hidden="1"/>
    <cellStyle name="열어 본 하이퍼링크" xfId="2392" builtinId="9" hidden="1"/>
    <cellStyle name="열어 본 하이퍼링크" xfId="2394" builtinId="9" hidden="1"/>
    <cellStyle name="열어 본 하이퍼링크" xfId="2396" builtinId="9" hidden="1"/>
    <cellStyle name="열어 본 하이퍼링크" xfId="2398" builtinId="9" hidden="1"/>
    <cellStyle name="열어 본 하이퍼링크" xfId="2400" builtinId="9" hidden="1"/>
    <cellStyle name="열어 본 하이퍼링크" xfId="2402" builtinId="9" hidden="1"/>
    <cellStyle name="열어 본 하이퍼링크" xfId="2404" builtinId="9" hidden="1"/>
    <cellStyle name="열어 본 하이퍼링크" xfId="2406" builtinId="9" hidden="1"/>
    <cellStyle name="열어 본 하이퍼링크" xfId="2408" builtinId="9" hidden="1"/>
    <cellStyle name="열어 본 하이퍼링크" xfId="2410" builtinId="9" hidden="1"/>
    <cellStyle name="열어 본 하이퍼링크" xfId="2412" builtinId="9" hidden="1"/>
    <cellStyle name="열어 본 하이퍼링크" xfId="2414" builtinId="9" hidden="1"/>
    <cellStyle name="열어 본 하이퍼링크" xfId="2416" builtinId="9" hidden="1"/>
    <cellStyle name="열어 본 하이퍼링크" xfId="2418" builtinId="9" hidden="1"/>
    <cellStyle name="열어 본 하이퍼링크" xfId="2420" builtinId="9" hidden="1"/>
    <cellStyle name="열어 본 하이퍼링크" xfId="2422" builtinId="9" hidden="1"/>
    <cellStyle name="열어 본 하이퍼링크" xfId="2424" builtinId="9" hidden="1"/>
    <cellStyle name="열어 본 하이퍼링크" xfId="2426" builtinId="9" hidden="1"/>
    <cellStyle name="열어 본 하이퍼링크" xfId="2428" builtinId="9" hidden="1"/>
    <cellStyle name="열어 본 하이퍼링크" xfId="2430" builtinId="9" hidden="1"/>
    <cellStyle name="열어 본 하이퍼링크" xfId="2432" builtinId="9" hidden="1"/>
    <cellStyle name="열어 본 하이퍼링크" xfId="2434" builtinId="9" hidden="1"/>
    <cellStyle name="열어 본 하이퍼링크" xfId="2436" builtinId="9" hidden="1"/>
    <cellStyle name="열어 본 하이퍼링크" xfId="2438" builtinId="9" hidden="1"/>
    <cellStyle name="열어 본 하이퍼링크" xfId="2440" builtinId="9" hidden="1"/>
    <cellStyle name="열어 본 하이퍼링크" xfId="2442" builtinId="9" hidden="1"/>
    <cellStyle name="열어 본 하이퍼링크" xfId="2444" builtinId="9" hidden="1"/>
    <cellStyle name="열어 본 하이퍼링크" xfId="2446" builtinId="9" hidden="1"/>
    <cellStyle name="열어 본 하이퍼링크" xfId="2448" builtinId="9" hidden="1"/>
    <cellStyle name="열어 본 하이퍼링크" xfId="2450" builtinId="9" hidden="1"/>
    <cellStyle name="열어 본 하이퍼링크" xfId="2452" builtinId="9" hidden="1"/>
    <cellStyle name="열어 본 하이퍼링크" xfId="2454" builtinId="9" hidden="1"/>
    <cellStyle name="열어 본 하이퍼링크" xfId="2456" builtinId="9" hidden="1"/>
    <cellStyle name="열어 본 하이퍼링크" xfId="2458" builtinId="9" hidden="1"/>
    <cellStyle name="열어 본 하이퍼링크" xfId="2460" builtinId="9" hidden="1"/>
    <cellStyle name="열어 본 하이퍼링크" xfId="2462" builtinId="9" hidden="1"/>
    <cellStyle name="열어 본 하이퍼링크" xfId="2464" builtinId="9" hidden="1"/>
    <cellStyle name="열어 본 하이퍼링크" xfId="2466" builtinId="9" hidden="1"/>
    <cellStyle name="열어 본 하이퍼링크" xfId="2468" builtinId="9" hidden="1"/>
    <cellStyle name="열어 본 하이퍼링크" xfId="2470" builtinId="9" hidden="1"/>
    <cellStyle name="열어 본 하이퍼링크" xfId="2472" builtinId="9" hidden="1"/>
    <cellStyle name="열어 본 하이퍼링크" xfId="2474" builtinId="9" hidden="1"/>
    <cellStyle name="열어 본 하이퍼링크" xfId="2476" builtinId="9" hidden="1"/>
    <cellStyle name="열어 본 하이퍼링크" xfId="2478" builtinId="9" hidden="1"/>
    <cellStyle name="열어 본 하이퍼링크" xfId="2480" builtinId="9" hidden="1"/>
    <cellStyle name="열어 본 하이퍼링크" xfId="2482" builtinId="9" hidden="1"/>
    <cellStyle name="열어 본 하이퍼링크" xfId="2484" builtinId="9" hidden="1"/>
    <cellStyle name="열어 본 하이퍼링크" xfId="2486" builtinId="9" hidden="1"/>
    <cellStyle name="열어 본 하이퍼링크" xfId="2488" builtinId="9" hidden="1"/>
    <cellStyle name="열어 본 하이퍼링크" xfId="2490" builtinId="9" hidden="1"/>
    <cellStyle name="열어 본 하이퍼링크" xfId="2492" builtinId="9" hidden="1"/>
    <cellStyle name="열어 본 하이퍼링크" xfId="2494" builtinId="9" hidden="1"/>
    <cellStyle name="열어 본 하이퍼링크" xfId="2496" builtinId="9" hidden="1"/>
    <cellStyle name="열어 본 하이퍼링크" xfId="2498" builtinId="9" hidden="1"/>
    <cellStyle name="열어 본 하이퍼링크" xfId="2500" builtinId="9" hidden="1"/>
    <cellStyle name="열어 본 하이퍼링크" xfId="2502" builtinId="9" hidden="1"/>
    <cellStyle name="열어 본 하이퍼링크" xfId="2504" builtinId="9" hidden="1"/>
    <cellStyle name="열어 본 하이퍼링크" xfId="2506" builtinId="9" hidden="1"/>
    <cellStyle name="열어 본 하이퍼링크" xfId="2508" builtinId="9" hidden="1"/>
    <cellStyle name="열어 본 하이퍼링크" xfId="2510" builtinId="9" hidden="1"/>
    <cellStyle name="열어 본 하이퍼링크" xfId="2512" builtinId="9" hidden="1"/>
    <cellStyle name="열어 본 하이퍼링크" xfId="2514" builtinId="9" hidden="1"/>
    <cellStyle name="열어 본 하이퍼링크" xfId="2516" builtinId="9" hidden="1"/>
    <cellStyle name="열어 본 하이퍼링크" xfId="2518" builtinId="9" hidden="1"/>
    <cellStyle name="열어 본 하이퍼링크" xfId="2520" builtinId="9" hidden="1"/>
    <cellStyle name="열어 본 하이퍼링크" xfId="2522" builtinId="9" hidden="1"/>
    <cellStyle name="열어 본 하이퍼링크" xfId="2524" builtinId="9" hidden="1"/>
    <cellStyle name="열어 본 하이퍼링크" xfId="2526" builtinId="9" hidden="1"/>
    <cellStyle name="열어 본 하이퍼링크" xfId="2528" builtinId="9" hidden="1"/>
    <cellStyle name="열어 본 하이퍼링크" xfId="2530" builtinId="9" hidden="1"/>
    <cellStyle name="열어 본 하이퍼링크" xfId="2532" builtinId="9" hidden="1"/>
    <cellStyle name="열어 본 하이퍼링크" xfId="2534" builtinId="9" hidden="1"/>
    <cellStyle name="열어 본 하이퍼링크" xfId="2536" builtinId="9" hidden="1"/>
    <cellStyle name="열어 본 하이퍼링크" xfId="2538" builtinId="9" hidden="1"/>
    <cellStyle name="열어 본 하이퍼링크" xfId="2540" builtinId="9" hidden="1"/>
    <cellStyle name="열어 본 하이퍼링크" xfId="2542" builtinId="9" hidden="1"/>
    <cellStyle name="열어 본 하이퍼링크" xfId="2544" builtinId="9" hidden="1"/>
    <cellStyle name="열어 본 하이퍼링크" xfId="2546" builtinId="9" hidden="1"/>
    <cellStyle name="열어 본 하이퍼링크" xfId="2548" builtinId="9" hidden="1"/>
    <cellStyle name="열어 본 하이퍼링크" xfId="2550" builtinId="9" hidden="1"/>
    <cellStyle name="열어 본 하이퍼링크" xfId="2552" builtinId="9" hidden="1"/>
    <cellStyle name="열어 본 하이퍼링크" xfId="2554" builtinId="9" hidden="1"/>
    <cellStyle name="열어 본 하이퍼링크" xfId="2556" builtinId="9" hidden="1"/>
    <cellStyle name="열어 본 하이퍼링크" xfId="2558" builtinId="9" hidden="1"/>
    <cellStyle name="열어 본 하이퍼링크" xfId="2560" builtinId="9" hidden="1"/>
    <cellStyle name="열어 본 하이퍼링크" xfId="2562" builtinId="9" hidden="1"/>
    <cellStyle name="열어 본 하이퍼링크" xfId="2564" builtinId="9" hidden="1"/>
    <cellStyle name="열어 본 하이퍼링크" xfId="2566" builtinId="9" hidden="1"/>
    <cellStyle name="열어 본 하이퍼링크" xfId="2568" builtinId="9" hidden="1"/>
    <cellStyle name="열어 본 하이퍼링크" xfId="2570" builtinId="9" hidden="1"/>
    <cellStyle name="열어 본 하이퍼링크" xfId="2572" builtinId="9" hidden="1"/>
    <cellStyle name="열어 본 하이퍼링크" xfId="2574" builtinId="9" hidden="1"/>
    <cellStyle name="열어 본 하이퍼링크" xfId="2576" builtinId="9" hidden="1"/>
    <cellStyle name="열어 본 하이퍼링크" xfId="2578" builtinId="9" hidden="1"/>
    <cellStyle name="열어 본 하이퍼링크" xfId="2580" builtinId="9" hidden="1"/>
    <cellStyle name="열어 본 하이퍼링크" xfId="2582" builtinId="9" hidden="1"/>
    <cellStyle name="열어 본 하이퍼링크" xfId="2584" builtinId="9" hidden="1"/>
    <cellStyle name="열어 본 하이퍼링크" xfId="2586" builtinId="9" hidden="1"/>
    <cellStyle name="열어 본 하이퍼링크" xfId="2588" builtinId="9" hidden="1"/>
    <cellStyle name="열어 본 하이퍼링크" xfId="2590" builtinId="9" hidden="1"/>
    <cellStyle name="열어 본 하이퍼링크" xfId="2592" builtinId="9" hidden="1"/>
    <cellStyle name="열어 본 하이퍼링크" xfId="2594" builtinId="9" hidden="1"/>
    <cellStyle name="열어 본 하이퍼링크" xfId="2596" builtinId="9" hidden="1"/>
    <cellStyle name="열어 본 하이퍼링크" xfId="2598" builtinId="9" hidden="1"/>
    <cellStyle name="열어 본 하이퍼링크" xfId="2600" builtinId="9" hidden="1"/>
    <cellStyle name="열어 본 하이퍼링크" xfId="2602" builtinId="9" hidden="1"/>
    <cellStyle name="열어 본 하이퍼링크" xfId="2604" builtinId="9" hidden="1"/>
    <cellStyle name="열어 본 하이퍼링크" xfId="2606" builtinId="9" hidden="1"/>
    <cellStyle name="열어 본 하이퍼링크" xfId="2608" builtinId="9" hidden="1"/>
    <cellStyle name="열어 본 하이퍼링크" xfId="2610" builtinId="9" hidden="1"/>
    <cellStyle name="열어 본 하이퍼링크" xfId="2612" builtinId="9" hidden="1"/>
    <cellStyle name="열어 본 하이퍼링크" xfId="2614" builtinId="9" hidden="1"/>
    <cellStyle name="열어 본 하이퍼링크" xfId="2616" builtinId="9" hidden="1"/>
    <cellStyle name="열어 본 하이퍼링크" xfId="2618" builtinId="9" hidden="1"/>
    <cellStyle name="열어 본 하이퍼링크" xfId="2620" builtinId="9" hidden="1"/>
    <cellStyle name="열어 본 하이퍼링크" xfId="2622" builtinId="9" hidden="1"/>
    <cellStyle name="열어 본 하이퍼링크" xfId="2624" builtinId="9" hidden="1"/>
    <cellStyle name="열어 본 하이퍼링크" xfId="2626" builtinId="9" hidden="1"/>
    <cellStyle name="열어 본 하이퍼링크" xfId="2628" builtinId="9" hidden="1"/>
    <cellStyle name="열어 본 하이퍼링크" xfId="2630" builtinId="9" hidden="1"/>
    <cellStyle name="열어 본 하이퍼링크" xfId="2632" builtinId="9" hidden="1"/>
    <cellStyle name="열어 본 하이퍼링크" xfId="2634" builtinId="9" hidden="1"/>
    <cellStyle name="열어 본 하이퍼링크" xfId="2636" builtinId="9" hidden="1"/>
    <cellStyle name="열어 본 하이퍼링크" xfId="2638" builtinId="9" hidden="1"/>
    <cellStyle name="열어 본 하이퍼링크" xfId="2640" builtinId="9" hidden="1"/>
    <cellStyle name="열어 본 하이퍼링크" xfId="2642" builtinId="9" hidden="1"/>
    <cellStyle name="열어 본 하이퍼링크" xfId="2644" builtinId="9" hidden="1"/>
    <cellStyle name="열어 본 하이퍼링크" xfId="2646" builtinId="9" hidden="1"/>
    <cellStyle name="열어 본 하이퍼링크" xfId="2648" builtinId="9" hidden="1"/>
    <cellStyle name="열어 본 하이퍼링크" xfId="2650" builtinId="9" hidden="1"/>
    <cellStyle name="열어 본 하이퍼링크" xfId="2652" builtinId="9" hidden="1"/>
    <cellStyle name="열어 본 하이퍼링크" xfId="2654" builtinId="9" hidden="1"/>
    <cellStyle name="열어 본 하이퍼링크" xfId="2656" builtinId="9" hidden="1"/>
    <cellStyle name="열어 본 하이퍼링크" xfId="2658" builtinId="9" hidden="1"/>
    <cellStyle name="열어 본 하이퍼링크" xfId="2660" builtinId="9" hidden="1"/>
    <cellStyle name="열어 본 하이퍼링크" xfId="2662" builtinId="9" hidden="1"/>
    <cellStyle name="열어 본 하이퍼링크" xfId="2664" builtinId="9" hidden="1"/>
    <cellStyle name="열어 본 하이퍼링크" xfId="2666" builtinId="9" hidden="1"/>
    <cellStyle name="열어 본 하이퍼링크" xfId="2668" builtinId="9" hidden="1"/>
    <cellStyle name="열어 본 하이퍼링크" xfId="2670" builtinId="9" hidden="1"/>
    <cellStyle name="열어 본 하이퍼링크" xfId="2672" builtinId="9" hidden="1"/>
    <cellStyle name="열어 본 하이퍼링크" xfId="2674" builtinId="9" hidden="1"/>
    <cellStyle name="열어 본 하이퍼링크" xfId="2676" builtinId="9" hidden="1"/>
    <cellStyle name="열어 본 하이퍼링크" xfId="2678" builtinId="9" hidden="1"/>
    <cellStyle name="열어 본 하이퍼링크" xfId="2680" builtinId="9" hidden="1"/>
    <cellStyle name="열어 본 하이퍼링크" xfId="2682" builtinId="9" hidden="1"/>
    <cellStyle name="열어 본 하이퍼링크" xfId="2684" builtinId="9" hidden="1"/>
    <cellStyle name="열어 본 하이퍼링크" xfId="2686" builtinId="9" hidden="1"/>
    <cellStyle name="열어 본 하이퍼링크" xfId="2688" builtinId="9" hidden="1"/>
    <cellStyle name="열어 본 하이퍼링크" xfId="2690" builtinId="9" hidden="1"/>
    <cellStyle name="열어 본 하이퍼링크" xfId="2692" builtinId="9" hidden="1"/>
    <cellStyle name="열어 본 하이퍼링크" xfId="2694" builtinId="9" hidden="1"/>
    <cellStyle name="열어 본 하이퍼링크" xfId="2696" builtinId="9" hidden="1"/>
    <cellStyle name="열어 본 하이퍼링크" xfId="2698" builtinId="9" hidden="1"/>
    <cellStyle name="열어 본 하이퍼링크" xfId="2700" builtinId="9" hidden="1"/>
    <cellStyle name="열어 본 하이퍼링크" xfId="2702" builtinId="9" hidden="1"/>
    <cellStyle name="열어 본 하이퍼링크" xfId="2704" builtinId="9" hidden="1"/>
    <cellStyle name="열어 본 하이퍼링크" xfId="2706" builtinId="9" hidden="1"/>
    <cellStyle name="열어 본 하이퍼링크" xfId="2708" builtinId="9" hidden="1"/>
    <cellStyle name="열어 본 하이퍼링크" xfId="2710" builtinId="9" hidden="1"/>
    <cellStyle name="열어 본 하이퍼링크" xfId="2712" builtinId="9" hidden="1"/>
    <cellStyle name="열어 본 하이퍼링크" xfId="2714" builtinId="9" hidden="1"/>
    <cellStyle name="열어 본 하이퍼링크" xfId="2716" builtinId="9" hidden="1"/>
    <cellStyle name="열어 본 하이퍼링크" xfId="2718" builtinId="9" hidden="1"/>
    <cellStyle name="열어 본 하이퍼링크" xfId="2720" builtinId="9" hidden="1"/>
    <cellStyle name="열어 본 하이퍼링크" xfId="2722" builtinId="9" hidden="1"/>
    <cellStyle name="열어 본 하이퍼링크" xfId="2724" builtinId="9" hidden="1"/>
    <cellStyle name="열어 본 하이퍼링크" xfId="2726" builtinId="9" hidden="1"/>
    <cellStyle name="열어 본 하이퍼링크" xfId="2728" builtinId="9" hidden="1"/>
    <cellStyle name="열어 본 하이퍼링크" xfId="2730" builtinId="9" hidden="1"/>
    <cellStyle name="열어 본 하이퍼링크" xfId="2732" builtinId="9" hidden="1"/>
    <cellStyle name="열어 본 하이퍼링크" xfId="2734" builtinId="9" hidden="1"/>
    <cellStyle name="열어 본 하이퍼링크" xfId="2736" builtinId="9" hidden="1"/>
    <cellStyle name="열어 본 하이퍼링크" xfId="2738" builtinId="9" hidden="1"/>
    <cellStyle name="열어 본 하이퍼링크" xfId="2740" builtinId="9" hidden="1"/>
    <cellStyle name="열어 본 하이퍼링크" xfId="2742" builtinId="9" hidden="1"/>
    <cellStyle name="열어 본 하이퍼링크" xfId="2744" builtinId="9" hidden="1"/>
    <cellStyle name="열어 본 하이퍼링크" xfId="2746" builtinId="9" hidden="1"/>
    <cellStyle name="열어 본 하이퍼링크" xfId="2748" builtinId="9" hidden="1"/>
    <cellStyle name="열어 본 하이퍼링크" xfId="2750" builtinId="9" hidden="1"/>
    <cellStyle name="열어 본 하이퍼링크" xfId="2752" builtinId="9" hidden="1"/>
    <cellStyle name="열어 본 하이퍼링크" xfId="2754" builtinId="9" hidden="1"/>
    <cellStyle name="열어 본 하이퍼링크" xfId="2756" builtinId="9" hidden="1"/>
    <cellStyle name="열어 본 하이퍼링크" xfId="2758" builtinId="9" hidden="1"/>
    <cellStyle name="열어 본 하이퍼링크" xfId="2760" builtinId="9" hidden="1"/>
    <cellStyle name="열어 본 하이퍼링크" xfId="2762" builtinId="9" hidden="1"/>
    <cellStyle name="열어 본 하이퍼링크" xfId="2764" builtinId="9" hidden="1"/>
    <cellStyle name="열어 본 하이퍼링크" xfId="2766" builtinId="9" hidden="1"/>
    <cellStyle name="열어 본 하이퍼링크" xfId="2768" builtinId="9" hidden="1"/>
    <cellStyle name="열어 본 하이퍼링크" xfId="2770" builtinId="9" hidden="1"/>
    <cellStyle name="열어 본 하이퍼링크" xfId="2772" builtinId="9" hidden="1"/>
    <cellStyle name="열어 본 하이퍼링크" xfId="2774" builtinId="9" hidden="1"/>
    <cellStyle name="열어 본 하이퍼링크" xfId="2776" builtinId="9" hidden="1"/>
    <cellStyle name="열어 본 하이퍼링크" xfId="2778" builtinId="9" hidden="1"/>
    <cellStyle name="열어 본 하이퍼링크" xfId="2780" builtinId="9" hidden="1"/>
    <cellStyle name="열어 본 하이퍼링크" xfId="2782" builtinId="9" hidden="1"/>
    <cellStyle name="열어 본 하이퍼링크" xfId="2784" builtinId="9" hidden="1"/>
    <cellStyle name="열어 본 하이퍼링크" xfId="2786" builtinId="9" hidden="1"/>
    <cellStyle name="열어 본 하이퍼링크" xfId="2788" builtinId="9" hidden="1"/>
    <cellStyle name="열어 본 하이퍼링크" xfId="2790" builtinId="9" hidden="1"/>
    <cellStyle name="열어 본 하이퍼링크" xfId="2792" builtinId="9" hidden="1"/>
    <cellStyle name="열어 본 하이퍼링크" xfId="2794" builtinId="9" hidden="1"/>
    <cellStyle name="열어 본 하이퍼링크" xfId="2796" builtinId="9" hidden="1"/>
    <cellStyle name="열어 본 하이퍼링크" xfId="2798" builtinId="9" hidden="1"/>
    <cellStyle name="열어 본 하이퍼링크" xfId="2800" builtinId="9" hidden="1"/>
    <cellStyle name="열어 본 하이퍼링크" xfId="2802" builtinId="9" hidden="1"/>
    <cellStyle name="열어 본 하이퍼링크" xfId="2804" builtinId="9" hidden="1"/>
    <cellStyle name="열어 본 하이퍼링크" xfId="2806" builtinId="9" hidden="1"/>
    <cellStyle name="열어 본 하이퍼링크" xfId="2808" builtinId="9" hidden="1"/>
    <cellStyle name="열어 본 하이퍼링크" xfId="2810" builtinId="9" hidden="1"/>
    <cellStyle name="열어 본 하이퍼링크" xfId="2812" builtinId="9" hidden="1"/>
    <cellStyle name="열어 본 하이퍼링크" xfId="2814" builtinId="9" hidden="1"/>
    <cellStyle name="열어 본 하이퍼링크" xfId="2816" builtinId="9" hidden="1"/>
    <cellStyle name="열어 본 하이퍼링크" xfId="2818" builtinId="9" hidden="1"/>
    <cellStyle name="열어 본 하이퍼링크" xfId="2820" builtinId="9" hidden="1"/>
    <cellStyle name="열어 본 하이퍼링크" xfId="2822" builtinId="9" hidden="1"/>
    <cellStyle name="열어 본 하이퍼링크" xfId="2824" builtinId="9" hidden="1"/>
    <cellStyle name="열어 본 하이퍼링크" xfId="2826" builtinId="9" hidden="1"/>
    <cellStyle name="열어 본 하이퍼링크" xfId="2828" builtinId="9" hidden="1"/>
    <cellStyle name="열어 본 하이퍼링크" xfId="2830" builtinId="9" hidden="1"/>
    <cellStyle name="열어 본 하이퍼링크" xfId="2832" builtinId="9" hidden="1"/>
    <cellStyle name="열어 본 하이퍼링크" xfId="2834" builtinId="9" hidden="1"/>
    <cellStyle name="열어 본 하이퍼링크" xfId="2836" builtinId="9" hidden="1"/>
    <cellStyle name="열어 본 하이퍼링크" xfId="2838" builtinId="9" hidden="1"/>
    <cellStyle name="열어 본 하이퍼링크" xfId="2840" builtinId="9" hidden="1"/>
    <cellStyle name="열어 본 하이퍼링크" xfId="2842" builtinId="9" hidden="1"/>
    <cellStyle name="열어 본 하이퍼링크" xfId="2844" builtinId="9" hidden="1"/>
    <cellStyle name="열어 본 하이퍼링크" xfId="2846" builtinId="9" hidden="1"/>
    <cellStyle name="열어 본 하이퍼링크" xfId="2848" builtinId="9" hidden="1"/>
    <cellStyle name="열어 본 하이퍼링크" xfId="2850" builtinId="9" hidden="1"/>
    <cellStyle name="열어 본 하이퍼링크" xfId="2852" builtinId="9" hidden="1"/>
    <cellStyle name="열어 본 하이퍼링크" xfId="2854" builtinId="9" hidden="1"/>
    <cellStyle name="열어 본 하이퍼링크" xfId="2856" builtinId="9" hidden="1"/>
    <cellStyle name="열어 본 하이퍼링크" xfId="2858" builtinId="9" hidden="1"/>
    <cellStyle name="열어 본 하이퍼링크" xfId="2860" builtinId="9" hidden="1"/>
    <cellStyle name="열어 본 하이퍼링크" xfId="2862" builtinId="9" hidden="1"/>
    <cellStyle name="열어 본 하이퍼링크" xfId="2864" builtinId="9" hidden="1"/>
    <cellStyle name="열어 본 하이퍼링크" xfId="2866" builtinId="9" hidden="1"/>
    <cellStyle name="열어 본 하이퍼링크" xfId="2868" builtinId="9" hidden="1"/>
    <cellStyle name="열어 본 하이퍼링크" xfId="2870" builtinId="9" hidden="1"/>
    <cellStyle name="열어 본 하이퍼링크" xfId="2872" builtinId="9" hidden="1"/>
    <cellStyle name="열어 본 하이퍼링크" xfId="2874" builtinId="9" hidden="1"/>
    <cellStyle name="열어 본 하이퍼링크" xfId="2876" builtinId="9" hidden="1"/>
    <cellStyle name="열어 본 하이퍼링크" xfId="2878" builtinId="9" hidden="1"/>
    <cellStyle name="열어 본 하이퍼링크" xfId="2880" builtinId="9" hidden="1"/>
    <cellStyle name="열어 본 하이퍼링크" xfId="2882" builtinId="9" hidden="1"/>
    <cellStyle name="열어 본 하이퍼링크" xfId="2884" builtinId="9" hidden="1"/>
    <cellStyle name="열어 본 하이퍼링크" xfId="2886" builtinId="9" hidden="1"/>
    <cellStyle name="열어 본 하이퍼링크" xfId="2888" builtinId="9" hidden="1"/>
    <cellStyle name="열어 본 하이퍼링크" xfId="2890" builtinId="9" hidden="1"/>
    <cellStyle name="열어 본 하이퍼링크" xfId="2892" builtinId="9" hidden="1"/>
    <cellStyle name="열어 본 하이퍼링크" xfId="2894" builtinId="9" hidden="1"/>
    <cellStyle name="열어 본 하이퍼링크" xfId="2896" builtinId="9" hidden="1"/>
    <cellStyle name="열어 본 하이퍼링크" xfId="2898" builtinId="9" hidden="1"/>
    <cellStyle name="열어 본 하이퍼링크" xfId="2900" builtinId="9" hidden="1"/>
    <cellStyle name="열어 본 하이퍼링크" xfId="2902" builtinId="9" hidden="1"/>
    <cellStyle name="열어 본 하이퍼링크" xfId="2904" builtinId="9" hidden="1"/>
    <cellStyle name="열어 본 하이퍼링크" xfId="2906" builtinId="9" hidden="1"/>
    <cellStyle name="열어 본 하이퍼링크" xfId="2908" builtinId="9" hidden="1"/>
    <cellStyle name="열어 본 하이퍼링크" xfId="2910" builtinId="9" hidden="1"/>
    <cellStyle name="열어 본 하이퍼링크" xfId="2912" builtinId="9" hidden="1"/>
    <cellStyle name="열어 본 하이퍼링크" xfId="2914" builtinId="9" hidden="1"/>
    <cellStyle name="열어 본 하이퍼링크" xfId="2916" builtinId="9" hidden="1"/>
    <cellStyle name="열어 본 하이퍼링크" xfId="2918" builtinId="9" hidden="1"/>
    <cellStyle name="열어 본 하이퍼링크" xfId="2920" builtinId="9" hidden="1"/>
    <cellStyle name="열어 본 하이퍼링크" xfId="2922" builtinId="9" hidden="1"/>
    <cellStyle name="열어 본 하이퍼링크" xfId="2924" builtinId="9" hidden="1"/>
    <cellStyle name="열어 본 하이퍼링크" xfId="2926" builtinId="9" hidden="1"/>
    <cellStyle name="열어 본 하이퍼링크" xfId="2928" builtinId="9" hidden="1"/>
    <cellStyle name="열어 본 하이퍼링크" xfId="2930" builtinId="9" hidden="1"/>
    <cellStyle name="열어 본 하이퍼링크" xfId="2932" builtinId="9" hidden="1"/>
    <cellStyle name="열어 본 하이퍼링크" xfId="2934" builtinId="9" hidden="1"/>
    <cellStyle name="열어 본 하이퍼링크" xfId="2936" builtinId="9" hidden="1"/>
    <cellStyle name="열어 본 하이퍼링크" xfId="2938" builtinId="9" hidden="1"/>
    <cellStyle name="열어 본 하이퍼링크" xfId="2940" builtinId="9" hidden="1"/>
    <cellStyle name="열어 본 하이퍼링크" xfId="2942" builtinId="9" hidden="1"/>
    <cellStyle name="열어 본 하이퍼링크" xfId="2944" builtinId="9" hidden="1"/>
    <cellStyle name="열어 본 하이퍼링크" xfId="2946" builtinId="9" hidden="1"/>
    <cellStyle name="열어 본 하이퍼링크" xfId="2948" builtinId="9" hidden="1"/>
    <cellStyle name="열어 본 하이퍼링크" xfId="2950" builtinId="9" hidden="1"/>
    <cellStyle name="열어 본 하이퍼링크" xfId="2952" builtinId="9" hidden="1"/>
    <cellStyle name="열어 본 하이퍼링크" xfId="2954" builtinId="9" hidden="1"/>
    <cellStyle name="열어 본 하이퍼링크" xfId="2956" builtinId="9" hidden="1"/>
    <cellStyle name="열어 본 하이퍼링크" xfId="2958" builtinId="9" hidden="1"/>
    <cellStyle name="열어 본 하이퍼링크" xfId="2960" builtinId="9" hidden="1"/>
    <cellStyle name="열어 본 하이퍼링크" xfId="2962" builtinId="9" hidden="1"/>
    <cellStyle name="열어 본 하이퍼링크" xfId="2964" builtinId="9" hidden="1"/>
    <cellStyle name="열어 본 하이퍼링크" xfId="2966" builtinId="9" hidden="1"/>
    <cellStyle name="열어 본 하이퍼링크" xfId="2968" builtinId="9" hidden="1"/>
    <cellStyle name="열어 본 하이퍼링크" xfId="2970" builtinId="9" hidden="1"/>
    <cellStyle name="열어 본 하이퍼링크" xfId="2972" builtinId="9" hidden="1"/>
    <cellStyle name="열어 본 하이퍼링크" xfId="2974" builtinId="9" hidden="1"/>
    <cellStyle name="열어 본 하이퍼링크" xfId="2976" builtinId="9" hidden="1"/>
    <cellStyle name="열어 본 하이퍼링크" xfId="2978" builtinId="9" hidden="1"/>
    <cellStyle name="열어 본 하이퍼링크" xfId="2980" builtinId="9" hidden="1"/>
    <cellStyle name="열어 본 하이퍼링크" xfId="2982" builtinId="9" hidden="1"/>
    <cellStyle name="열어 본 하이퍼링크" xfId="2984" builtinId="9" hidden="1"/>
    <cellStyle name="열어 본 하이퍼링크" xfId="2986" builtinId="9" hidden="1"/>
    <cellStyle name="열어 본 하이퍼링크" xfId="2988" builtinId="9" hidden="1"/>
    <cellStyle name="열어 본 하이퍼링크" xfId="2990" builtinId="9" hidden="1"/>
    <cellStyle name="열어 본 하이퍼링크" xfId="2992" builtinId="9" hidden="1"/>
    <cellStyle name="열어 본 하이퍼링크" xfId="2994" builtinId="9" hidden="1"/>
    <cellStyle name="열어 본 하이퍼링크" xfId="2996" builtinId="9" hidden="1"/>
    <cellStyle name="열어 본 하이퍼링크" xfId="2998" builtinId="9" hidden="1"/>
    <cellStyle name="열어 본 하이퍼링크" xfId="3000" builtinId="9" hidden="1"/>
    <cellStyle name="열어 본 하이퍼링크" xfId="3002" builtinId="9" hidden="1"/>
    <cellStyle name="열어 본 하이퍼링크" xfId="3004" builtinId="9" hidden="1"/>
    <cellStyle name="열어 본 하이퍼링크" xfId="3006" builtinId="9" hidden="1"/>
    <cellStyle name="열어 본 하이퍼링크" xfId="3008" builtinId="9" hidden="1"/>
    <cellStyle name="열어 본 하이퍼링크" xfId="3010" builtinId="9" hidden="1"/>
    <cellStyle name="열어 본 하이퍼링크" xfId="3012" builtinId="9" hidden="1"/>
    <cellStyle name="열어 본 하이퍼링크" xfId="3014" builtinId="9" hidden="1"/>
    <cellStyle name="열어 본 하이퍼링크" xfId="3016" builtinId="9" hidden="1"/>
    <cellStyle name="열어 본 하이퍼링크" xfId="3018" builtinId="9" hidden="1"/>
    <cellStyle name="열어 본 하이퍼링크" xfId="3020" builtinId="9" hidden="1"/>
    <cellStyle name="열어 본 하이퍼링크" xfId="3022" builtinId="9" hidden="1"/>
    <cellStyle name="열어 본 하이퍼링크" xfId="3024" builtinId="9" hidden="1"/>
    <cellStyle name="열어 본 하이퍼링크" xfId="3026" builtinId="9" hidden="1"/>
    <cellStyle name="열어 본 하이퍼링크" xfId="3028" builtinId="9" hidden="1"/>
    <cellStyle name="열어 본 하이퍼링크" xfId="3030" builtinId="9" hidden="1"/>
    <cellStyle name="열어 본 하이퍼링크" xfId="3032" builtinId="9" hidden="1"/>
    <cellStyle name="열어 본 하이퍼링크" xfId="3034" builtinId="9" hidden="1"/>
    <cellStyle name="열어 본 하이퍼링크" xfId="3036" builtinId="9" hidden="1"/>
    <cellStyle name="열어 본 하이퍼링크" xfId="3038" builtinId="9" hidden="1"/>
    <cellStyle name="열어 본 하이퍼링크" xfId="3040" builtinId="9" hidden="1"/>
    <cellStyle name="열어 본 하이퍼링크" xfId="3042" builtinId="9" hidden="1"/>
    <cellStyle name="열어 본 하이퍼링크" xfId="3044" builtinId="9" hidden="1"/>
    <cellStyle name="열어 본 하이퍼링크" xfId="3046" builtinId="9" hidden="1"/>
    <cellStyle name="열어 본 하이퍼링크" xfId="3048" builtinId="9" hidden="1"/>
    <cellStyle name="열어 본 하이퍼링크" xfId="3050" builtinId="9" hidden="1"/>
    <cellStyle name="열어 본 하이퍼링크" xfId="3052" builtinId="9" hidden="1"/>
    <cellStyle name="열어 본 하이퍼링크" xfId="3054" builtinId="9" hidden="1"/>
    <cellStyle name="열어 본 하이퍼링크" xfId="3056" builtinId="9" hidden="1"/>
    <cellStyle name="열어 본 하이퍼링크" xfId="3058" builtinId="9" hidden="1"/>
    <cellStyle name="열어 본 하이퍼링크" xfId="3060" builtinId="9" hidden="1"/>
    <cellStyle name="열어 본 하이퍼링크" xfId="3062" builtinId="9" hidden="1"/>
    <cellStyle name="열어 본 하이퍼링크" xfId="3064" builtinId="9" hidden="1"/>
    <cellStyle name="열어 본 하이퍼링크" xfId="3066" builtinId="9" hidden="1"/>
    <cellStyle name="열어 본 하이퍼링크" xfId="3068" builtinId="9" hidden="1"/>
    <cellStyle name="열어 본 하이퍼링크" xfId="3070" builtinId="9" hidden="1"/>
    <cellStyle name="열어 본 하이퍼링크" xfId="3072" builtinId="9" hidden="1"/>
    <cellStyle name="열어 본 하이퍼링크" xfId="3074" builtinId="9" hidden="1"/>
    <cellStyle name="열어 본 하이퍼링크" xfId="3076" builtinId="9" hidden="1"/>
    <cellStyle name="열어 본 하이퍼링크" xfId="3078" builtinId="9" hidden="1"/>
    <cellStyle name="열어 본 하이퍼링크" xfId="3080" builtinId="9" hidden="1"/>
    <cellStyle name="열어 본 하이퍼링크" xfId="3082" builtinId="9" hidden="1"/>
    <cellStyle name="열어 본 하이퍼링크" xfId="3084" builtinId="9" hidden="1"/>
    <cellStyle name="열어 본 하이퍼링크" xfId="3086" builtinId="9" hidden="1"/>
    <cellStyle name="열어 본 하이퍼링크" xfId="3088" builtinId="9" hidden="1"/>
    <cellStyle name="열어 본 하이퍼링크" xfId="3090" builtinId="9" hidden="1"/>
    <cellStyle name="열어 본 하이퍼링크" xfId="3092" builtinId="9" hidden="1"/>
    <cellStyle name="열어 본 하이퍼링크" xfId="3094" builtinId="9" hidden="1"/>
    <cellStyle name="열어 본 하이퍼링크" xfId="3096" builtinId="9" hidden="1"/>
    <cellStyle name="열어 본 하이퍼링크" xfId="3098" builtinId="9" hidden="1"/>
    <cellStyle name="열어 본 하이퍼링크" xfId="3100" builtinId="9" hidden="1"/>
    <cellStyle name="열어 본 하이퍼링크" xfId="3102" builtinId="9" hidden="1"/>
    <cellStyle name="열어 본 하이퍼링크" xfId="3104" builtinId="9" hidden="1"/>
    <cellStyle name="열어 본 하이퍼링크" xfId="3106" builtinId="9" hidden="1"/>
    <cellStyle name="열어 본 하이퍼링크" xfId="3108" builtinId="9" hidden="1"/>
    <cellStyle name="열어 본 하이퍼링크" xfId="3110" builtinId="9" hidden="1"/>
    <cellStyle name="열어 본 하이퍼링크" xfId="3112" builtinId="9" hidden="1"/>
    <cellStyle name="열어 본 하이퍼링크" xfId="3114" builtinId="9" hidden="1"/>
    <cellStyle name="열어 본 하이퍼링크" xfId="3116" builtinId="9" hidden="1"/>
    <cellStyle name="열어 본 하이퍼링크" xfId="3118" builtinId="9" hidden="1"/>
    <cellStyle name="열어 본 하이퍼링크" xfId="3120" builtinId="9" hidden="1"/>
    <cellStyle name="열어 본 하이퍼링크" xfId="3122" builtinId="9" hidden="1"/>
    <cellStyle name="열어 본 하이퍼링크" xfId="3124" builtinId="9" hidden="1"/>
    <cellStyle name="열어 본 하이퍼링크" xfId="3126" builtinId="9" hidden="1"/>
    <cellStyle name="열어 본 하이퍼링크" xfId="3128" builtinId="9" hidden="1"/>
    <cellStyle name="열어 본 하이퍼링크" xfId="3130" builtinId="9" hidden="1"/>
    <cellStyle name="열어 본 하이퍼링크" xfId="3132" builtinId="9" hidden="1"/>
    <cellStyle name="열어 본 하이퍼링크" xfId="3134" builtinId="9" hidden="1"/>
    <cellStyle name="열어 본 하이퍼링크" xfId="3136" builtinId="9" hidden="1"/>
    <cellStyle name="열어 본 하이퍼링크" xfId="3138" builtinId="9" hidden="1"/>
    <cellStyle name="열어 본 하이퍼링크" xfId="3140" builtinId="9" hidden="1"/>
    <cellStyle name="열어 본 하이퍼링크" xfId="3142" builtinId="9" hidden="1"/>
    <cellStyle name="열어 본 하이퍼링크" xfId="3144" builtinId="9" hidden="1"/>
    <cellStyle name="열어 본 하이퍼링크" xfId="3146" builtinId="9" hidden="1"/>
    <cellStyle name="열어 본 하이퍼링크" xfId="3148" builtinId="9" hidden="1"/>
    <cellStyle name="열어 본 하이퍼링크" xfId="3150" builtinId="9" hidden="1"/>
    <cellStyle name="열어 본 하이퍼링크" xfId="3152" builtinId="9" hidden="1"/>
    <cellStyle name="열어 본 하이퍼링크" xfId="3154" builtinId="9" hidden="1"/>
    <cellStyle name="열어 본 하이퍼링크" xfId="3156" builtinId="9" hidden="1"/>
    <cellStyle name="열어 본 하이퍼링크" xfId="3158" builtinId="9" hidden="1"/>
    <cellStyle name="열어 본 하이퍼링크" xfId="3160" builtinId="9" hidden="1"/>
    <cellStyle name="열어 본 하이퍼링크" xfId="3162" builtinId="9" hidden="1"/>
    <cellStyle name="열어 본 하이퍼링크" xfId="3164" builtinId="9" hidden="1"/>
    <cellStyle name="열어 본 하이퍼링크" xfId="3166" builtinId="9" hidden="1"/>
    <cellStyle name="열어 본 하이퍼링크" xfId="3168" builtinId="9" hidden="1"/>
    <cellStyle name="열어 본 하이퍼링크" xfId="3170" builtinId="9" hidden="1"/>
    <cellStyle name="열어 본 하이퍼링크" xfId="3172" builtinId="9" hidden="1"/>
    <cellStyle name="열어 본 하이퍼링크" xfId="3174" builtinId="9" hidden="1"/>
    <cellStyle name="열어 본 하이퍼링크" xfId="3176" builtinId="9" hidden="1"/>
    <cellStyle name="열어 본 하이퍼링크" xfId="3178" builtinId="9" hidden="1"/>
    <cellStyle name="열어 본 하이퍼링크" xfId="3180" builtinId="9" hidden="1"/>
    <cellStyle name="열어 본 하이퍼링크" xfId="3182" builtinId="9" hidden="1"/>
    <cellStyle name="열어 본 하이퍼링크" xfId="3184" builtinId="9" hidden="1"/>
    <cellStyle name="열어 본 하이퍼링크" xfId="3186" builtinId="9" hidden="1"/>
    <cellStyle name="열어 본 하이퍼링크" xfId="3188" builtinId="9" hidden="1"/>
    <cellStyle name="열어 본 하이퍼링크" xfId="3190" builtinId="9" hidden="1"/>
    <cellStyle name="열어 본 하이퍼링크" xfId="3192" builtinId="9" hidden="1"/>
    <cellStyle name="열어 본 하이퍼링크" xfId="3194" builtinId="9" hidden="1"/>
    <cellStyle name="열어 본 하이퍼링크" xfId="3196" builtinId="9" hidden="1"/>
    <cellStyle name="열어 본 하이퍼링크" xfId="3198" builtinId="9" hidden="1"/>
    <cellStyle name="열어 본 하이퍼링크" xfId="3200" builtinId="9" hidden="1"/>
    <cellStyle name="열어 본 하이퍼링크" xfId="3202" builtinId="9" hidden="1"/>
    <cellStyle name="열어 본 하이퍼링크" xfId="3204" builtinId="9" hidden="1"/>
    <cellStyle name="열어 본 하이퍼링크" xfId="3206" builtinId="9" hidden="1"/>
    <cellStyle name="열어 본 하이퍼링크" xfId="3208" builtinId="9" hidden="1"/>
    <cellStyle name="열어 본 하이퍼링크" xfId="3210" builtinId="9" hidden="1"/>
    <cellStyle name="열어 본 하이퍼링크" xfId="3212" builtinId="9" hidden="1"/>
    <cellStyle name="열어 본 하이퍼링크" xfId="3214" builtinId="9" hidden="1"/>
    <cellStyle name="열어 본 하이퍼링크" xfId="3216" builtinId="9" hidden="1"/>
    <cellStyle name="열어 본 하이퍼링크" xfId="3218" builtinId="9" hidden="1"/>
    <cellStyle name="열어 본 하이퍼링크" xfId="3220" builtinId="9" hidden="1"/>
    <cellStyle name="열어 본 하이퍼링크" xfId="3222" builtinId="9" hidden="1"/>
    <cellStyle name="열어 본 하이퍼링크" xfId="3224" builtinId="9" hidden="1"/>
    <cellStyle name="열어 본 하이퍼링크" xfId="3226" builtinId="9" hidden="1"/>
    <cellStyle name="열어 본 하이퍼링크" xfId="3228" builtinId="9" hidden="1"/>
    <cellStyle name="열어 본 하이퍼링크" xfId="3230" builtinId="9" hidden="1"/>
    <cellStyle name="열어 본 하이퍼링크" xfId="3232" builtinId="9" hidden="1"/>
    <cellStyle name="열어 본 하이퍼링크" xfId="3234" builtinId="9" hidden="1"/>
    <cellStyle name="열어 본 하이퍼링크" xfId="3236" builtinId="9" hidden="1"/>
    <cellStyle name="열어 본 하이퍼링크" xfId="3238" builtinId="9" hidden="1"/>
    <cellStyle name="열어 본 하이퍼링크" xfId="3240" builtinId="9" hidden="1"/>
    <cellStyle name="열어 본 하이퍼링크" xfId="3242" builtinId="9" hidden="1"/>
    <cellStyle name="열어 본 하이퍼링크" xfId="3244" builtinId="9" hidden="1"/>
    <cellStyle name="열어 본 하이퍼링크" xfId="3246" builtinId="9" hidden="1"/>
    <cellStyle name="열어 본 하이퍼링크" xfId="3248" builtinId="9" hidden="1"/>
    <cellStyle name="열어 본 하이퍼링크" xfId="3250" builtinId="9" hidden="1"/>
    <cellStyle name="열어 본 하이퍼링크" xfId="3252" builtinId="9" hidden="1"/>
    <cellStyle name="열어 본 하이퍼링크" xfId="3254" builtinId="9" hidden="1"/>
    <cellStyle name="열어 본 하이퍼링크" xfId="3256" builtinId="9" hidden="1"/>
    <cellStyle name="열어 본 하이퍼링크" xfId="3258" builtinId="9" hidden="1"/>
    <cellStyle name="열어 본 하이퍼링크" xfId="3260" builtinId="9" hidden="1"/>
    <cellStyle name="열어 본 하이퍼링크" xfId="3262" builtinId="9" hidden="1"/>
    <cellStyle name="열어 본 하이퍼링크" xfId="3264" builtinId="9" hidden="1"/>
    <cellStyle name="열어 본 하이퍼링크" xfId="3266" builtinId="9" hidden="1"/>
    <cellStyle name="열어 본 하이퍼링크" xfId="3268" builtinId="9" hidden="1"/>
    <cellStyle name="열어 본 하이퍼링크" xfId="3270" builtinId="9" hidden="1"/>
    <cellStyle name="열어 본 하이퍼링크" xfId="3272" builtinId="9" hidden="1"/>
    <cellStyle name="열어 본 하이퍼링크" xfId="3274" builtinId="9" hidden="1"/>
    <cellStyle name="열어 본 하이퍼링크" xfId="3276" builtinId="9" hidden="1"/>
    <cellStyle name="열어 본 하이퍼링크" xfId="3278" builtinId="9" hidden="1"/>
    <cellStyle name="열어 본 하이퍼링크" xfId="3280" builtinId="9" hidden="1"/>
    <cellStyle name="열어 본 하이퍼링크" xfId="3282" builtinId="9" hidden="1"/>
    <cellStyle name="열어 본 하이퍼링크" xfId="3284" builtinId="9" hidden="1"/>
    <cellStyle name="열어 본 하이퍼링크" xfId="3286" builtinId="9" hidden="1"/>
    <cellStyle name="열어 본 하이퍼링크" xfId="3288" builtinId="9" hidden="1"/>
    <cellStyle name="열어 본 하이퍼링크" xfId="3290" builtinId="9" hidden="1"/>
    <cellStyle name="열어 본 하이퍼링크" xfId="3292" builtinId="9" hidden="1"/>
    <cellStyle name="열어 본 하이퍼링크" xfId="3294" builtinId="9" hidden="1"/>
    <cellStyle name="열어 본 하이퍼링크" xfId="3296" builtinId="9" hidden="1"/>
    <cellStyle name="열어 본 하이퍼링크" xfId="3298" builtinId="9" hidden="1"/>
    <cellStyle name="열어 본 하이퍼링크" xfId="3300" builtinId="9" hidden="1"/>
    <cellStyle name="열어 본 하이퍼링크" xfId="3302" builtinId="9" hidden="1"/>
    <cellStyle name="열어 본 하이퍼링크" xfId="3304" builtinId="9" hidden="1"/>
    <cellStyle name="열어 본 하이퍼링크" xfId="3306" builtinId="9" hidden="1"/>
    <cellStyle name="열어 본 하이퍼링크" xfId="3308" builtinId="9" hidden="1"/>
    <cellStyle name="열어 본 하이퍼링크" xfId="3310" builtinId="9" hidden="1"/>
    <cellStyle name="열어 본 하이퍼링크" xfId="3312" builtinId="9" hidden="1"/>
    <cellStyle name="열어 본 하이퍼링크" xfId="3314" builtinId="9" hidden="1"/>
    <cellStyle name="열어 본 하이퍼링크" xfId="3316" builtinId="9" hidden="1"/>
    <cellStyle name="열어 본 하이퍼링크" xfId="3318" builtinId="9" hidden="1"/>
    <cellStyle name="열어 본 하이퍼링크" xfId="3320" builtinId="9" hidden="1"/>
    <cellStyle name="열어 본 하이퍼링크" xfId="3322" builtinId="9" hidden="1"/>
    <cellStyle name="열어 본 하이퍼링크" xfId="3324" builtinId="9" hidden="1"/>
    <cellStyle name="열어 본 하이퍼링크" xfId="3326" builtinId="9" hidden="1"/>
    <cellStyle name="열어 본 하이퍼링크" xfId="3328" builtinId="9" hidden="1"/>
    <cellStyle name="열어 본 하이퍼링크" xfId="3330" builtinId="9" hidden="1"/>
    <cellStyle name="열어 본 하이퍼링크" xfId="3332" builtinId="9" hidden="1"/>
    <cellStyle name="열어 본 하이퍼링크" xfId="3334" builtinId="9" hidden="1"/>
    <cellStyle name="열어 본 하이퍼링크" xfId="3336" builtinId="9" hidden="1"/>
    <cellStyle name="열어 본 하이퍼링크" xfId="3338" builtinId="9" hidden="1"/>
    <cellStyle name="열어 본 하이퍼링크" xfId="3340" builtinId="9" hidden="1"/>
    <cellStyle name="열어 본 하이퍼링크" xfId="3342" builtinId="9" hidden="1"/>
    <cellStyle name="열어 본 하이퍼링크" xfId="3344" builtinId="9" hidden="1"/>
    <cellStyle name="열어 본 하이퍼링크" xfId="3346" builtinId="9" hidden="1"/>
    <cellStyle name="열어 본 하이퍼링크" xfId="3348" builtinId="9" hidden="1"/>
    <cellStyle name="열어 본 하이퍼링크" xfId="3350" builtinId="9" hidden="1"/>
    <cellStyle name="열어 본 하이퍼링크" xfId="3352" builtinId="9" hidden="1"/>
    <cellStyle name="열어 본 하이퍼링크" xfId="3354" builtinId="9" hidden="1"/>
    <cellStyle name="열어 본 하이퍼링크" xfId="3356" builtinId="9" hidden="1"/>
    <cellStyle name="열어 본 하이퍼링크" xfId="3358" builtinId="9" hidden="1"/>
    <cellStyle name="열어 본 하이퍼링크" xfId="3360" builtinId="9" hidden="1"/>
    <cellStyle name="열어 본 하이퍼링크" xfId="3362" builtinId="9" hidden="1"/>
    <cellStyle name="열어 본 하이퍼링크" xfId="3364" builtinId="9" hidden="1"/>
    <cellStyle name="열어 본 하이퍼링크" xfId="3366" builtinId="9" hidden="1"/>
    <cellStyle name="열어 본 하이퍼링크" xfId="3368" builtinId="9" hidden="1"/>
    <cellStyle name="열어 본 하이퍼링크" xfId="3370" builtinId="9" hidden="1"/>
    <cellStyle name="열어 본 하이퍼링크" xfId="3372" builtinId="9" hidden="1"/>
    <cellStyle name="열어 본 하이퍼링크" xfId="3374" builtinId="9" hidden="1"/>
    <cellStyle name="열어 본 하이퍼링크" xfId="3376" builtinId="9" hidden="1"/>
    <cellStyle name="열어 본 하이퍼링크" xfId="3378" builtinId="9" hidden="1"/>
    <cellStyle name="열어 본 하이퍼링크" xfId="3380" builtinId="9" hidden="1"/>
    <cellStyle name="열어 본 하이퍼링크" xfId="3382" builtinId="9" hidden="1"/>
    <cellStyle name="열어 본 하이퍼링크" xfId="3384" builtinId="9" hidden="1"/>
    <cellStyle name="열어 본 하이퍼링크" xfId="3386" builtinId="9" hidden="1"/>
    <cellStyle name="열어 본 하이퍼링크" xfId="3388" builtinId="9" hidden="1"/>
    <cellStyle name="열어 본 하이퍼링크" xfId="3390" builtinId="9" hidden="1"/>
    <cellStyle name="열어 본 하이퍼링크" xfId="3392" builtinId="9" hidden="1"/>
    <cellStyle name="열어 본 하이퍼링크" xfId="3394" builtinId="9" hidden="1"/>
    <cellStyle name="열어 본 하이퍼링크" xfId="3396" builtinId="9" hidden="1"/>
    <cellStyle name="열어 본 하이퍼링크" xfId="3398" builtinId="9" hidden="1"/>
    <cellStyle name="열어 본 하이퍼링크" xfId="3400" builtinId="9" hidden="1"/>
    <cellStyle name="열어 본 하이퍼링크" xfId="3402" builtinId="9" hidden="1"/>
    <cellStyle name="열어 본 하이퍼링크" xfId="3404" builtinId="9" hidden="1"/>
    <cellStyle name="열어 본 하이퍼링크" xfId="3406" builtinId="9" hidden="1"/>
    <cellStyle name="열어 본 하이퍼링크" xfId="3408" builtinId="9" hidden="1"/>
    <cellStyle name="열어 본 하이퍼링크" xfId="3410" builtinId="9" hidden="1"/>
    <cellStyle name="열어 본 하이퍼링크" xfId="3412" builtinId="9" hidden="1"/>
    <cellStyle name="열어 본 하이퍼링크" xfId="3414" builtinId="9" hidden="1"/>
    <cellStyle name="열어 본 하이퍼링크" xfId="3416" builtinId="9" hidden="1"/>
    <cellStyle name="열어 본 하이퍼링크" xfId="3418" builtinId="9" hidden="1"/>
    <cellStyle name="열어 본 하이퍼링크" xfId="3420" builtinId="9" hidden="1"/>
    <cellStyle name="열어 본 하이퍼링크" xfId="3422" builtinId="9" hidden="1"/>
    <cellStyle name="열어 본 하이퍼링크" xfId="3424" builtinId="9" hidden="1"/>
    <cellStyle name="열어 본 하이퍼링크" xfId="3426" builtinId="9" hidden="1"/>
    <cellStyle name="열어 본 하이퍼링크" xfId="3428" builtinId="9" hidden="1"/>
    <cellStyle name="열어 본 하이퍼링크" xfId="3430" builtinId="9" hidden="1"/>
    <cellStyle name="열어 본 하이퍼링크" xfId="3432" builtinId="9" hidden="1"/>
    <cellStyle name="열어 본 하이퍼링크" xfId="3434" builtinId="9" hidden="1"/>
    <cellStyle name="열어 본 하이퍼링크" xfId="3436" builtinId="9" hidden="1"/>
    <cellStyle name="열어 본 하이퍼링크" xfId="3438" builtinId="9" hidden="1"/>
    <cellStyle name="열어 본 하이퍼링크" xfId="3440" builtinId="9" hidden="1"/>
    <cellStyle name="열어 본 하이퍼링크" xfId="3442" builtinId="9" hidden="1"/>
    <cellStyle name="열어 본 하이퍼링크" xfId="3444" builtinId="9" hidden="1"/>
    <cellStyle name="열어 본 하이퍼링크" xfId="3446" builtinId="9" hidden="1"/>
    <cellStyle name="열어 본 하이퍼링크" xfId="3448" builtinId="9" hidden="1"/>
    <cellStyle name="열어 본 하이퍼링크" xfId="3450" builtinId="9" hidden="1"/>
    <cellStyle name="열어 본 하이퍼링크" xfId="3452" builtinId="9" hidden="1"/>
    <cellStyle name="열어 본 하이퍼링크" xfId="3454" builtinId="9" hidden="1"/>
    <cellStyle name="열어 본 하이퍼링크" xfId="3456" builtinId="9" hidden="1"/>
    <cellStyle name="열어 본 하이퍼링크" xfId="3458" builtinId="9" hidden="1"/>
    <cellStyle name="열어 본 하이퍼링크" xfId="3460" builtinId="9" hidden="1"/>
    <cellStyle name="열어 본 하이퍼링크" xfId="3462" builtinId="9" hidden="1"/>
    <cellStyle name="열어 본 하이퍼링크" xfId="3464" builtinId="9" hidden="1"/>
    <cellStyle name="열어 본 하이퍼링크" xfId="3466" builtinId="9" hidden="1"/>
    <cellStyle name="열어 본 하이퍼링크" xfId="3468" builtinId="9" hidden="1"/>
    <cellStyle name="열어 본 하이퍼링크" xfId="3470" builtinId="9" hidden="1"/>
    <cellStyle name="열어 본 하이퍼링크" xfId="3472" builtinId="9" hidden="1"/>
    <cellStyle name="열어 본 하이퍼링크" xfId="3474" builtinId="9" hidden="1"/>
    <cellStyle name="열어 본 하이퍼링크" xfId="3476" builtinId="9" hidden="1"/>
    <cellStyle name="열어 본 하이퍼링크" xfId="3478" builtinId="9" hidden="1"/>
    <cellStyle name="열어 본 하이퍼링크" xfId="3480" builtinId="9" hidden="1"/>
    <cellStyle name="열어 본 하이퍼링크" xfId="3482" builtinId="9" hidden="1"/>
    <cellStyle name="열어 본 하이퍼링크" xfId="3484" builtinId="9" hidden="1"/>
    <cellStyle name="열어 본 하이퍼링크" xfId="3486" builtinId="9" hidden="1"/>
    <cellStyle name="열어 본 하이퍼링크" xfId="3488" builtinId="9" hidden="1"/>
    <cellStyle name="열어 본 하이퍼링크" xfId="3490" builtinId="9" hidden="1"/>
    <cellStyle name="열어 본 하이퍼링크" xfId="3492" builtinId="9" hidden="1"/>
    <cellStyle name="열어 본 하이퍼링크" xfId="3494" builtinId="9" hidden="1"/>
    <cellStyle name="열어 본 하이퍼링크" xfId="3496" builtinId="9" hidden="1"/>
    <cellStyle name="열어 본 하이퍼링크" xfId="3498" builtinId="9" hidden="1"/>
    <cellStyle name="열어 본 하이퍼링크" xfId="3500" builtinId="9" hidden="1"/>
    <cellStyle name="열어 본 하이퍼링크" xfId="3502" builtinId="9" hidden="1"/>
    <cellStyle name="열어 본 하이퍼링크" xfId="3504" builtinId="9" hidden="1"/>
    <cellStyle name="열어 본 하이퍼링크" xfId="3506" builtinId="9" hidden="1"/>
    <cellStyle name="열어 본 하이퍼링크" xfId="3508" builtinId="9" hidden="1"/>
    <cellStyle name="열어 본 하이퍼링크" xfId="3510" builtinId="9" hidden="1"/>
    <cellStyle name="열어 본 하이퍼링크" xfId="3512" builtinId="9" hidden="1"/>
    <cellStyle name="열어 본 하이퍼링크" xfId="3514" builtinId="9" hidden="1"/>
    <cellStyle name="열어 본 하이퍼링크" xfId="3516" builtinId="9" hidden="1"/>
    <cellStyle name="열어 본 하이퍼링크" xfId="3518" builtinId="9" hidden="1"/>
    <cellStyle name="열어 본 하이퍼링크" xfId="3520" builtinId="9" hidden="1"/>
    <cellStyle name="열어 본 하이퍼링크" xfId="3522" builtinId="9" hidden="1"/>
    <cellStyle name="열어 본 하이퍼링크" xfId="3524" builtinId="9" hidden="1"/>
    <cellStyle name="열어 본 하이퍼링크" xfId="3526" builtinId="9" hidden="1"/>
    <cellStyle name="열어 본 하이퍼링크" xfId="3528" builtinId="9" hidden="1"/>
    <cellStyle name="열어 본 하이퍼링크" xfId="3530" builtinId="9" hidden="1"/>
    <cellStyle name="열어 본 하이퍼링크" xfId="3532" builtinId="9" hidden="1"/>
    <cellStyle name="열어 본 하이퍼링크" xfId="3534" builtinId="9" hidden="1"/>
    <cellStyle name="열어 본 하이퍼링크" xfId="3536" builtinId="9" hidden="1"/>
    <cellStyle name="열어 본 하이퍼링크" xfId="3538" builtinId="9" hidden="1"/>
    <cellStyle name="열어 본 하이퍼링크" xfId="3540" builtinId="9" hidden="1"/>
    <cellStyle name="열어 본 하이퍼링크" xfId="3542" builtinId="9" hidden="1"/>
    <cellStyle name="열어 본 하이퍼링크" xfId="3544" builtinId="9" hidden="1"/>
    <cellStyle name="열어 본 하이퍼링크" xfId="3546" builtinId="9" hidden="1"/>
    <cellStyle name="열어 본 하이퍼링크" xfId="3548" builtinId="9" hidden="1"/>
    <cellStyle name="열어 본 하이퍼링크" xfId="3550" builtinId="9" hidden="1"/>
    <cellStyle name="열어 본 하이퍼링크" xfId="3552" builtinId="9" hidden="1"/>
    <cellStyle name="열어 본 하이퍼링크" xfId="3554" builtinId="9" hidden="1"/>
    <cellStyle name="열어 본 하이퍼링크" xfId="3556" builtinId="9" hidden="1"/>
    <cellStyle name="열어 본 하이퍼링크" xfId="3558" builtinId="9" hidden="1"/>
    <cellStyle name="열어 본 하이퍼링크" xfId="3560" builtinId="9" hidden="1"/>
    <cellStyle name="열어 본 하이퍼링크" xfId="3562" builtinId="9" hidden="1"/>
    <cellStyle name="열어 본 하이퍼링크" xfId="3564" builtinId="9" hidden="1"/>
    <cellStyle name="열어 본 하이퍼링크" xfId="3566" builtinId="9" hidden="1"/>
    <cellStyle name="열어 본 하이퍼링크" xfId="3568" builtinId="9" hidden="1"/>
    <cellStyle name="열어 본 하이퍼링크" xfId="3570" builtinId="9" hidden="1"/>
    <cellStyle name="열어 본 하이퍼링크" xfId="3572" builtinId="9" hidden="1"/>
    <cellStyle name="열어 본 하이퍼링크" xfId="3574" builtinId="9" hidden="1"/>
    <cellStyle name="열어 본 하이퍼링크" xfId="3576" builtinId="9" hidden="1"/>
    <cellStyle name="열어 본 하이퍼링크" xfId="3578" builtinId="9" hidden="1"/>
    <cellStyle name="열어 본 하이퍼링크" xfId="3580" builtinId="9" hidden="1"/>
    <cellStyle name="열어 본 하이퍼링크" xfId="3582" builtinId="9" hidden="1"/>
    <cellStyle name="열어 본 하이퍼링크" xfId="3584" builtinId="9" hidden="1"/>
    <cellStyle name="열어 본 하이퍼링크" xfId="3586" builtinId="9" hidden="1"/>
    <cellStyle name="열어 본 하이퍼링크" xfId="3588" builtinId="9" hidden="1"/>
    <cellStyle name="열어 본 하이퍼링크" xfId="3590" builtinId="9" hidden="1"/>
    <cellStyle name="열어 본 하이퍼링크" xfId="3592" builtinId="9" hidden="1"/>
    <cellStyle name="열어 본 하이퍼링크" xfId="3594" builtinId="9" hidden="1"/>
    <cellStyle name="열어 본 하이퍼링크" xfId="3596" builtinId="9" hidden="1"/>
    <cellStyle name="열어 본 하이퍼링크" xfId="3598" builtinId="9" hidden="1"/>
    <cellStyle name="열어 본 하이퍼링크" xfId="3600" builtinId="9" hidden="1"/>
    <cellStyle name="열어 본 하이퍼링크" xfId="3602" builtinId="9" hidden="1"/>
    <cellStyle name="열어 본 하이퍼링크" xfId="3604" builtinId="9" hidden="1"/>
    <cellStyle name="열어 본 하이퍼링크" xfId="3606" builtinId="9" hidden="1"/>
    <cellStyle name="열어 본 하이퍼링크" xfId="3608" builtinId="9" hidden="1"/>
    <cellStyle name="열어 본 하이퍼링크" xfId="3610" builtinId="9" hidden="1"/>
    <cellStyle name="열어 본 하이퍼링크" xfId="3612" builtinId="9" hidden="1"/>
    <cellStyle name="열어 본 하이퍼링크" xfId="3614" builtinId="9" hidden="1"/>
    <cellStyle name="열어 본 하이퍼링크" xfId="3616" builtinId="9" hidden="1"/>
    <cellStyle name="열어 본 하이퍼링크" xfId="3618" builtinId="9" hidden="1"/>
    <cellStyle name="열어 본 하이퍼링크" xfId="3620" builtinId="9" hidden="1"/>
    <cellStyle name="열어 본 하이퍼링크" xfId="3622" builtinId="9" hidden="1"/>
    <cellStyle name="열어 본 하이퍼링크" xfId="3624" builtinId="9" hidden="1"/>
    <cellStyle name="열어 본 하이퍼링크" xfId="3626" builtinId="9" hidden="1"/>
    <cellStyle name="열어 본 하이퍼링크" xfId="3628" builtinId="9" hidden="1"/>
    <cellStyle name="열어 본 하이퍼링크" xfId="3630" builtinId="9" hidden="1"/>
    <cellStyle name="열어 본 하이퍼링크" xfId="3632" builtinId="9" hidden="1"/>
    <cellStyle name="열어 본 하이퍼링크" xfId="3634" builtinId="9" hidden="1"/>
    <cellStyle name="열어 본 하이퍼링크" xfId="3636" builtinId="9" hidden="1"/>
    <cellStyle name="열어 본 하이퍼링크" xfId="3638" builtinId="9" hidden="1"/>
    <cellStyle name="열어 본 하이퍼링크" xfId="3640" builtinId="9" hidden="1"/>
    <cellStyle name="열어 본 하이퍼링크" xfId="3642" builtinId="9" hidden="1"/>
    <cellStyle name="열어 본 하이퍼링크" xfId="3644" builtinId="9" hidden="1"/>
    <cellStyle name="열어 본 하이퍼링크" xfId="3646" builtinId="9" hidden="1"/>
    <cellStyle name="열어 본 하이퍼링크" xfId="3648" builtinId="9" hidden="1"/>
    <cellStyle name="열어 본 하이퍼링크" xfId="3650" builtinId="9" hidden="1"/>
    <cellStyle name="열어 본 하이퍼링크" xfId="3652" builtinId="9" hidden="1"/>
    <cellStyle name="열어 본 하이퍼링크" xfId="3654" builtinId="9" hidden="1"/>
    <cellStyle name="열어 본 하이퍼링크" xfId="3656" builtinId="9" hidden="1"/>
    <cellStyle name="열어 본 하이퍼링크" xfId="3658" builtinId="9" hidden="1"/>
    <cellStyle name="열어 본 하이퍼링크" xfId="3660" builtinId="9" hidden="1"/>
    <cellStyle name="열어 본 하이퍼링크" xfId="3662" builtinId="9" hidden="1"/>
    <cellStyle name="열어 본 하이퍼링크" xfId="3664" builtinId="9" hidden="1"/>
    <cellStyle name="열어 본 하이퍼링크" xfId="3666" builtinId="9" hidden="1"/>
    <cellStyle name="열어 본 하이퍼링크" xfId="3668" builtinId="9" hidden="1"/>
    <cellStyle name="열어 본 하이퍼링크" xfId="3670" builtinId="9" hidden="1"/>
    <cellStyle name="열어 본 하이퍼링크" xfId="3672" builtinId="9" hidden="1"/>
    <cellStyle name="열어 본 하이퍼링크" xfId="3674" builtinId="9" hidden="1"/>
    <cellStyle name="열어 본 하이퍼링크" xfId="3676" builtinId="9" hidden="1"/>
    <cellStyle name="열어 본 하이퍼링크" xfId="3678" builtinId="9" hidden="1"/>
    <cellStyle name="열어 본 하이퍼링크" xfId="3680" builtinId="9" hidden="1"/>
    <cellStyle name="열어 본 하이퍼링크" xfId="3682" builtinId="9" hidden="1"/>
    <cellStyle name="열어 본 하이퍼링크" xfId="3684" builtinId="9" hidden="1"/>
    <cellStyle name="열어 본 하이퍼링크" xfId="3686" builtinId="9" hidden="1"/>
    <cellStyle name="열어 본 하이퍼링크" xfId="3688" builtinId="9" hidden="1"/>
    <cellStyle name="열어 본 하이퍼링크" xfId="3690" builtinId="9" hidden="1"/>
    <cellStyle name="열어 본 하이퍼링크" xfId="3692" builtinId="9" hidden="1"/>
    <cellStyle name="열어 본 하이퍼링크" xfId="3694" builtinId="9" hidden="1"/>
    <cellStyle name="열어 본 하이퍼링크" xfId="3696" builtinId="9" hidden="1"/>
    <cellStyle name="열어 본 하이퍼링크" xfId="3698" builtinId="9" hidden="1"/>
    <cellStyle name="열어 본 하이퍼링크" xfId="3700" builtinId="9" hidden="1"/>
    <cellStyle name="열어 본 하이퍼링크" xfId="3702" builtinId="9" hidden="1"/>
    <cellStyle name="열어 본 하이퍼링크" xfId="3704" builtinId="9" hidden="1"/>
    <cellStyle name="열어 본 하이퍼링크" xfId="3706" builtinId="9" hidden="1"/>
    <cellStyle name="열어 본 하이퍼링크" xfId="3708" builtinId="9" hidden="1"/>
    <cellStyle name="열어 본 하이퍼링크" xfId="3710" builtinId="9" hidden="1"/>
    <cellStyle name="열어 본 하이퍼링크" xfId="3712" builtinId="9" hidden="1"/>
    <cellStyle name="열어 본 하이퍼링크" xfId="3714" builtinId="9" hidden="1"/>
    <cellStyle name="열어 본 하이퍼링크" xfId="3716" builtinId="9" hidden="1"/>
    <cellStyle name="열어 본 하이퍼링크" xfId="3718" builtinId="9" hidden="1"/>
    <cellStyle name="열어 본 하이퍼링크" xfId="3720" builtinId="9" hidden="1"/>
    <cellStyle name="열어 본 하이퍼링크" xfId="3722" builtinId="9" hidden="1"/>
    <cellStyle name="열어 본 하이퍼링크" xfId="3724" builtinId="9" hidden="1"/>
    <cellStyle name="열어 본 하이퍼링크" xfId="3726" builtinId="9" hidden="1"/>
    <cellStyle name="열어 본 하이퍼링크" xfId="3728" builtinId="9" hidden="1"/>
    <cellStyle name="열어 본 하이퍼링크" xfId="3730" builtinId="9" hidden="1"/>
    <cellStyle name="열어 본 하이퍼링크" xfId="3732" builtinId="9" hidden="1"/>
    <cellStyle name="열어 본 하이퍼링크" xfId="3734" builtinId="9" hidden="1"/>
    <cellStyle name="열어 본 하이퍼링크" xfId="3736" builtinId="9" hidden="1"/>
    <cellStyle name="열어 본 하이퍼링크" xfId="3738" builtinId="9" hidden="1"/>
    <cellStyle name="열어 본 하이퍼링크" xfId="3740" builtinId="9" hidden="1"/>
    <cellStyle name="열어 본 하이퍼링크" xfId="3742" builtinId="9" hidden="1"/>
    <cellStyle name="열어 본 하이퍼링크" xfId="3744" builtinId="9" hidden="1"/>
    <cellStyle name="열어 본 하이퍼링크" xfId="3746" builtinId="9" hidden="1"/>
    <cellStyle name="열어 본 하이퍼링크" xfId="3748" builtinId="9" hidden="1"/>
    <cellStyle name="열어 본 하이퍼링크" xfId="3750" builtinId="9" hidden="1"/>
    <cellStyle name="열어 본 하이퍼링크" xfId="3752" builtinId="9" hidden="1"/>
    <cellStyle name="열어 본 하이퍼링크" xfId="3754" builtinId="9" hidden="1"/>
    <cellStyle name="열어 본 하이퍼링크" xfId="3756" builtinId="9" hidden="1"/>
    <cellStyle name="열어 본 하이퍼링크" xfId="3758" builtinId="9" hidden="1"/>
    <cellStyle name="열어 본 하이퍼링크" xfId="3760" builtinId="9" hidden="1"/>
    <cellStyle name="열어 본 하이퍼링크" xfId="3762" builtinId="9" hidden="1"/>
    <cellStyle name="열어 본 하이퍼링크" xfId="3764" builtinId="9" hidden="1"/>
    <cellStyle name="열어 본 하이퍼링크" xfId="3766" builtinId="9" hidden="1"/>
    <cellStyle name="열어 본 하이퍼링크" xfId="3768" builtinId="9" hidden="1"/>
    <cellStyle name="열어 본 하이퍼링크" xfId="3770" builtinId="9" hidden="1"/>
    <cellStyle name="열어 본 하이퍼링크" xfId="3772" builtinId="9" hidden="1"/>
    <cellStyle name="열어 본 하이퍼링크" xfId="3774" builtinId="9" hidden="1"/>
    <cellStyle name="열어 본 하이퍼링크" xfId="3776" builtinId="9" hidden="1"/>
    <cellStyle name="열어 본 하이퍼링크" xfId="3778" builtinId="9" hidden="1"/>
    <cellStyle name="열어 본 하이퍼링크" xfId="3780" builtinId="9" hidden="1"/>
    <cellStyle name="열어 본 하이퍼링크" xfId="3782" builtinId="9" hidden="1"/>
    <cellStyle name="열어 본 하이퍼링크" xfId="3784" builtinId="9" hidden="1"/>
    <cellStyle name="열어 본 하이퍼링크" xfId="3786" builtinId="9" hidden="1"/>
    <cellStyle name="열어 본 하이퍼링크" xfId="3788" builtinId="9" hidden="1"/>
    <cellStyle name="열어 본 하이퍼링크" xfId="3790" builtinId="9" hidden="1"/>
    <cellStyle name="열어 본 하이퍼링크" xfId="3792" builtinId="9" hidden="1"/>
    <cellStyle name="열어 본 하이퍼링크" xfId="3794" builtinId="9" hidden="1"/>
    <cellStyle name="열어 본 하이퍼링크" xfId="3796" builtinId="9" hidden="1"/>
    <cellStyle name="열어 본 하이퍼링크" xfId="3798" builtinId="9" hidden="1"/>
    <cellStyle name="열어 본 하이퍼링크" xfId="3800" builtinId="9" hidden="1"/>
    <cellStyle name="열어 본 하이퍼링크" xfId="3802" builtinId="9" hidden="1"/>
    <cellStyle name="열어 본 하이퍼링크" xfId="3804" builtinId="9" hidden="1"/>
    <cellStyle name="열어 본 하이퍼링크" xfId="3806" builtinId="9" hidden="1"/>
    <cellStyle name="열어 본 하이퍼링크" xfId="3808" builtinId="9" hidden="1"/>
    <cellStyle name="열어 본 하이퍼링크" xfId="3810" builtinId="9" hidden="1"/>
    <cellStyle name="열어 본 하이퍼링크" xfId="3812" builtinId="9" hidden="1"/>
    <cellStyle name="열어 본 하이퍼링크" xfId="3814" builtinId="9" hidden="1"/>
    <cellStyle name="열어 본 하이퍼링크" xfId="3816" builtinId="9" hidden="1"/>
    <cellStyle name="열어 본 하이퍼링크" xfId="3818" builtinId="9" hidden="1"/>
    <cellStyle name="열어 본 하이퍼링크" xfId="3820" builtinId="9" hidden="1"/>
    <cellStyle name="열어 본 하이퍼링크" xfId="3822" builtinId="9" hidden="1"/>
    <cellStyle name="열어 본 하이퍼링크" xfId="3824" builtinId="9" hidden="1"/>
    <cellStyle name="열어 본 하이퍼링크" xfId="3826" builtinId="9" hidden="1"/>
    <cellStyle name="열어 본 하이퍼링크" xfId="3828" builtinId="9" hidden="1"/>
    <cellStyle name="열어 본 하이퍼링크" xfId="3830" builtinId="9" hidden="1"/>
    <cellStyle name="열어 본 하이퍼링크" xfId="3832" builtinId="9" hidden="1"/>
    <cellStyle name="열어 본 하이퍼링크" xfId="3834" builtinId="9" hidden="1"/>
    <cellStyle name="열어 본 하이퍼링크" xfId="3836" builtinId="9" hidden="1"/>
    <cellStyle name="열어 본 하이퍼링크" xfId="3838" builtinId="9" hidden="1"/>
    <cellStyle name="열어 본 하이퍼링크" xfId="3840" builtinId="9" hidden="1"/>
    <cellStyle name="열어 본 하이퍼링크" xfId="3842" builtinId="9" hidden="1"/>
    <cellStyle name="열어 본 하이퍼링크" xfId="3844" builtinId="9" hidden="1"/>
    <cellStyle name="열어 본 하이퍼링크" xfId="3846" builtinId="9" hidden="1"/>
    <cellStyle name="열어 본 하이퍼링크" xfId="3848" builtinId="9" hidden="1"/>
    <cellStyle name="열어 본 하이퍼링크" xfId="3850" builtinId="9" hidden="1"/>
    <cellStyle name="열어 본 하이퍼링크" xfId="3852" builtinId="9" hidden="1"/>
    <cellStyle name="열어 본 하이퍼링크" xfId="3854" builtinId="9" hidden="1"/>
    <cellStyle name="열어 본 하이퍼링크" xfId="3856" builtinId="9" hidden="1"/>
    <cellStyle name="열어 본 하이퍼링크" xfId="3858" builtinId="9" hidden="1"/>
    <cellStyle name="열어 본 하이퍼링크" xfId="3860" builtinId="9" hidden="1"/>
    <cellStyle name="열어 본 하이퍼링크" xfId="3862" builtinId="9" hidden="1"/>
    <cellStyle name="열어 본 하이퍼링크" xfId="3864" builtinId="9" hidden="1"/>
    <cellStyle name="열어 본 하이퍼링크" xfId="3866" builtinId="9" hidden="1"/>
    <cellStyle name="열어 본 하이퍼링크" xfId="3868" builtinId="9" hidden="1"/>
    <cellStyle name="열어 본 하이퍼링크" xfId="3870" builtinId="9" hidden="1"/>
    <cellStyle name="열어 본 하이퍼링크" xfId="3872" builtinId="9" hidden="1"/>
    <cellStyle name="열어 본 하이퍼링크" xfId="3874" builtinId="9" hidden="1"/>
    <cellStyle name="열어 본 하이퍼링크" xfId="3876" builtinId="9" hidden="1"/>
    <cellStyle name="열어 본 하이퍼링크" xfId="3878" builtinId="9" hidden="1"/>
    <cellStyle name="열어 본 하이퍼링크" xfId="3880" builtinId="9" hidden="1"/>
    <cellStyle name="열어 본 하이퍼링크" xfId="3882" builtinId="9" hidden="1"/>
    <cellStyle name="열어 본 하이퍼링크" xfId="3884" builtinId="9" hidden="1"/>
    <cellStyle name="열어 본 하이퍼링크" xfId="3886" builtinId="9" hidden="1"/>
    <cellStyle name="열어 본 하이퍼링크" xfId="3888" builtinId="9" hidden="1"/>
    <cellStyle name="열어 본 하이퍼링크" xfId="3890" builtinId="9" hidden="1"/>
    <cellStyle name="열어 본 하이퍼링크" xfId="3892" builtinId="9" hidden="1"/>
    <cellStyle name="열어 본 하이퍼링크" xfId="3894" builtinId="9" hidden="1"/>
    <cellStyle name="열어 본 하이퍼링크" xfId="3896" builtinId="9" hidden="1"/>
    <cellStyle name="열어 본 하이퍼링크" xfId="3898" builtinId="9" hidden="1"/>
    <cellStyle name="열어 본 하이퍼링크" xfId="3900" builtinId="9" hidden="1"/>
    <cellStyle name="열어 본 하이퍼링크" xfId="3902" builtinId="9" hidden="1"/>
    <cellStyle name="열어 본 하이퍼링크" xfId="3904" builtinId="9" hidden="1"/>
    <cellStyle name="열어 본 하이퍼링크" xfId="3906" builtinId="9" hidden="1"/>
    <cellStyle name="열어 본 하이퍼링크" xfId="3908" builtinId="9" hidden="1"/>
    <cellStyle name="열어 본 하이퍼링크" xfId="3910" builtinId="9" hidden="1"/>
    <cellStyle name="열어 본 하이퍼링크" xfId="3912" builtinId="9" hidden="1"/>
    <cellStyle name="열어 본 하이퍼링크" xfId="3914" builtinId="9" hidden="1"/>
    <cellStyle name="열어 본 하이퍼링크" xfId="3916" builtinId="9" hidden="1"/>
    <cellStyle name="열어 본 하이퍼링크" xfId="3918" builtinId="9" hidden="1"/>
    <cellStyle name="열어 본 하이퍼링크" xfId="3920" builtinId="9" hidden="1"/>
    <cellStyle name="열어 본 하이퍼링크" xfId="3922" builtinId="9" hidden="1"/>
    <cellStyle name="열어 본 하이퍼링크" xfId="3924" builtinId="9" hidden="1"/>
    <cellStyle name="열어 본 하이퍼링크" xfId="3926" builtinId="9" hidden="1"/>
    <cellStyle name="열어 본 하이퍼링크" xfId="3928" builtinId="9" hidden="1"/>
    <cellStyle name="열어 본 하이퍼링크" xfId="3930" builtinId="9" hidden="1"/>
    <cellStyle name="열어 본 하이퍼링크" xfId="3932" builtinId="9" hidden="1"/>
    <cellStyle name="열어 본 하이퍼링크" xfId="3934" builtinId="9" hidden="1"/>
    <cellStyle name="열어 본 하이퍼링크" xfId="3936" builtinId="9" hidden="1"/>
    <cellStyle name="열어 본 하이퍼링크" xfId="3938" builtinId="9" hidden="1"/>
    <cellStyle name="열어 본 하이퍼링크" xfId="3940" builtinId="9" hidden="1"/>
    <cellStyle name="열어 본 하이퍼링크" xfId="3942" builtinId="9" hidden="1"/>
    <cellStyle name="열어 본 하이퍼링크" xfId="3944" builtinId="9" hidden="1"/>
    <cellStyle name="열어 본 하이퍼링크" xfId="3946" builtinId="9" hidden="1"/>
    <cellStyle name="열어 본 하이퍼링크" xfId="3948" builtinId="9" hidden="1"/>
    <cellStyle name="열어 본 하이퍼링크" xfId="3950" builtinId="9" hidden="1"/>
    <cellStyle name="열어 본 하이퍼링크" xfId="3952" builtinId="9" hidden="1"/>
    <cellStyle name="열어 본 하이퍼링크" xfId="3954" builtinId="9" hidden="1"/>
    <cellStyle name="열어 본 하이퍼링크" xfId="3956" builtinId="9" hidden="1"/>
    <cellStyle name="열어 본 하이퍼링크" xfId="3958" builtinId="9" hidden="1"/>
    <cellStyle name="열어 본 하이퍼링크" xfId="3960" builtinId="9" hidden="1"/>
    <cellStyle name="열어 본 하이퍼링크" xfId="3962" builtinId="9" hidden="1"/>
    <cellStyle name="열어 본 하이퍼링크" xfId="3964" builtinId="9" hidden="1"/>
    <cellStyle name="열어 본 하이퍼링크" xfId="3966" builtinId="9" hidden="1"/>
    <cellStyle name="열어 본 하이퍼링크" xfId="3968" builtinId="9" hidden="1"/>
    <cellStyle name="열어 본 하이퍼링크" xfId="3970" builtinId="9" hidden="1"/>
    <cellStyle name="열어 본 하이퍼링크" xfId="3972" builtinId="9" hidden="1"/>
    <cellStyle name="열어 본 하이퍼링크" xfId="3974" builtinId="9" hidden="1"/>
    <cellStyle name="열어 본 하이퍼링크" xfId="3976" builtinId="9" hidden="1"/>
    <cellStyle name="열어 본 하이퍼링크" xfId="3978" builtinId="9" hidden="1"/>
    <cellStyle name="열어 본 하이퍼링크" xfId="3980" builtinId="9" hidden="1"/>
    <cellStyle name="열어 본 하이퍼링크" xfId="3982" builtinId="9" hidden="1"/>
    <cellStyle name="열어 본 하이퍼링크" xfId="3984" builtinId="9" hidden="1"/>
    <cellStyle name="열어 본 하이퍼링크" xfId="3986" builtinId="9" hidden="1"/>
    <cellStyle name="열어 본 하이퍼링크" xfId="3988" builtinId="9" hidden="1"/>
    <cellStyle name="열어 본 하이퍼링크" xfId="3990" builtinId="9" hidden="1"/>
    <cellStyle name="열어 본 하이퍼링크" xfId="3992" builtinId="9" hidden="1"/>
    <cellStyle name="열어 본 하이퍼링크" xfId="3994" builtinId="9" hidden="1"/>
    <cellStyle name="열어 본 하이퍼링크" xfId="3996" builtinId="9" hidden="1"/>
    <cellStyle name="열어 본 하이퍼링크" xfId="3998" builtinId="9" hidden="1"/>
    <cellStyle name="열어 본 하이퍼링크" xfId="4000" builtinId="9" hidden="1"/>
    <cellStyle name="열어 본 하이퍼링크" xfId="4002" builtinId="9" hidden="1"/>
    <cellStyle name="열어 본 하이퍼링크" xfId="4004" builtinId="9" hidden="1"/>
    <cellStyle name="열어 본 하이퍼링크" xfId="4006" builtinId="9" hidden="1"/>
    <cellStyle name="열어 본 하이퍼링크" xfId="4008" builtinId="9" hidden="1"/>
    <cellStyle name="열어 본 하이퍼링크" xfId="4010" builtinId="9" hidden="1"/>
    <cellStyle name="열어 본 하이퍼링크" xfId="4012" builtinId="9" hidden="1"/>
    <cellStyle name="열어 본 하이퍼링크" xfId="4014" builtinId="9" hidden="1"/>
    <cellStyle name="열어 본 하이퍼링크" xfId="4016" builtinId="9" hidden="1"/>
    <cellStyle name="열어 본 하이퍼링크" xfId="4018" builtinId="9" hidden="1"/>
    <cellStyle name="열어 본 하이퍼링크" xfId="4020" builtinId="9" hidden="1"/>
    <cellStyle name="열어 본 하이퍼링크" xfId="4022" builtinId="9" hidden="1"/>
    <cellStyle name="열어 본 하이퍼링크" xfId="4024" builtinId="9" hidden="1"/>
    <cellStyle name="열어 본 하이퍼링크" xfId="4026" builtinId="9" hidden="1"/>
    <cellStyle name="열어 본 하이퍼링크" xfId="4028" builtinId="9" hidden="1"/>
    <cellStyle name="열어 본 하이퍼링크" xfId="4030" builtinId="9" hidden="1"/>
    <cellStyle name="열어 본 하이퍼링크" xfId="4032" builtinId="9" hidden="1"/>
    <cellStyle name="열어 본 하이퍼링크" xfId="4034" builtinId="9" hidden="1"/>
    <cellStyle name="열어 본 하이퍼링크" xfId="4036" builtinId="9" hidden="1"/>
    <cellStyle name="열어 본 하이퍼링크" xfId="4038" builtinId="9" hidden="1"/>
    <cellStyle name="열어 본 하이퍼링크" xfId="4040" builtinId="9" hidden="1"/>
    <cellStyle name="열어 본 하이퍼링크" xfId="4042" builtinId="9" hidden="1"/>
    <cellStyle name="열어 본 하이퍼링크" xfId="4044" builtinId="9" hidden="1"/>
    <cellStyle name="열어 본 하이퍼링크" xfId="4046" builtinId="9" hidden="1"/>
    <cellStyle name="열어 본 하이퍼링크" xfId="4048" builtinId="9" hidden="1"/>
    <cellStyle name="열어 본 하이퍼링크" xfId="4050" builtinId="9" hidden="1"/>
    <cellStyle name="열어 본 하이퍼링크" xfId="4052" builtinId="9" hidden="1"/>
    <cellStyle name="열어 본 하이퍼링크" xfId="4054" builtinId="9" hidden="1"/>
    <cellStyle name="열어 본 하이퍼링크" xfId="4056" builtinId="9" hidden="1"/>
    <cellStyle name="열어 본 하이퍼링크" xfId="4058" builtinId="9" hidden="1"/>
    <cellStyle name="열어 본 하이퍼링크" xfId="4060" builtinId="9" hidden="1"/>
    <cellStyle name="열어 본 하이퍼링크" xfId="4062" builtinId="9" hidden="1"/>
    <cellStyle name="열어 본 하이퍼링크" xfId="4064" builtinId="9" hidden="1"/>
    <cellStyle name="열어 본 하이퍼링크" xfId="4066" builtinId="9" hidden="1"/>
    <cellStyle name="열어 본 하이퍼링크" xfId="4068" builtinId="9" hidden="1"/>
    <cellStyle name="열어 본 하이퍼링크" xfId="4070" builtinId="9" hidden="1"/>
    <cellStyle name="열어 본 하이퍼링크" xfId="4072" builtinId="9" hidden="1"/>
    <cellStyle name="열어 본 하이퍼링크" xfId="4074" builtinId="9" hidden="1"/>
    <cellStyle name="열어 본 하이퍼링크" xfId="4076" builtinId="9" hidden="1"/>
    <cellStyle name="열어 본 하이퍼링크" xfId="4078" builtinId="9" hidden="1"/>
    <cellStyle name="열어 본 하이퍼링크" xfId="4080" builtinId="9" hidden="1"/>
    <cellStyle name="열어 본 하이퍼링크" xfId="4082" builtinId="9" hidden="1"/>
    <cellStyle name="열어 본 하이퍼링크" xfId="4084" builtinId="9" hidden="1"/>
    <cellStyle name="열어 본 하이퍼링크" xfId="4086" builtinId="9" hidden="1"/>
    <cellStyle name="열어 본 하이퍼링크" xfId="4088" builtinId="9" hidden="1"/>
    <cellStyle name="열어 본 하이퍼링크" xfId="4090" builtinId="9" hidden="1"/>
    <cellStyle name="열어 본 하이퍼링크" xfId="4092" builtinId="9" hidden="1"/>
    <cellStyle name="열어 본 하이퍼링크" xfId="4094" builtinId="9" hidden="1"/>
    <cellStyle name="열어 본 하이퍼링크" xfId="4096" builtinId="9" hidden="1"/>
    <cellStyle name="열어 본 하이퍼링크" xfId="4098" builtinId="9" hidden="1"/>
    <cellStyle name="열어 본 하이퍼링크" xfId="4100" builtinId="9" hidden="1"/>
    <cellStyle name="열어 본 하이퍼링크" xfId="4102" builtinId="9" hidden="1"/>
    <cellStyle name="열어 본 하이퍼링크" xfId="4104" builtinId="9" hidden="1"/>
    <cellStyle name="열어 본 하이퍼링크" xfId="4106" builtinId="9" hidden="1"/>
    <cellStyle name="열어 본 하이퍼링크" xfId="4108" builtinId="9" hidden="1"/>
    <cellStyle name="열어 본 하이퍼링크" xfId="4110" builtinId="9" hidden="1"/>
    <cellStyle name="열어 본 하이퍼링크" xfId="4112" builtinId="9" hidden="1"/>
    <cellStyle name="열어 본 하이퍼링크" xfId="4114" builtinId="9" hidden="1"/>
    <cellStyle name="열어 본 하이퍼링크" xfId="4116" builtinId="9" hidden="1"/>
    <cellStyle name="열어 본 하이퍼링크" xfId="4118" builtinId="9" hidden="1"/>
    <cellStyle name="열어 본 하이퍼링크" xfId="4120" builtinId="9" hidden="1"/>
    <cellStyle name="열어 본 하이퍼링크" xfId="4122" builtinId="9" hidden="1"/>
    <cellStyle name="열어 본 하이퍼링크" xfId="4124" builtinId="9" hidden="1"/>
    <cellStyle name="열어 본 하이퍼링크" xfId="4126" builtinId="9" hidden="1"/>
    <cellStyle name="열어 본 하이퍼링크" xfId="4128" builtinId="9" hidden="1"/>
    <cellStyle name="열어 본 하이퍼링크" xfId="4130" builtinId="9" hidden="1"/>
    <cellStyle name="열어 본 하이퍼링크" xfId="4132" builtinId="9" hidden="1"/>
    <cellStyle name="열어 본 하이퍼링크" xfId="4134" builtinId="9" hidden="1"/>
    <cellStyle name="열어 본 하이퍼링크" xfId="4136" builtinId="9" hidden="1"/>
    <cellStyle name="열어 본 하이퍼링크" xfId="4138" builtinId="9" hidden="1"/>
    <cellStyle name="열어 본 하이퍼링크" xfId="4140" builtinId="9" hidden="1"/>
    <cellStyle name="열어 본 하이퍼링크" xfId="4142" builtinId="9" hidden="1"/>
    <cellStyle name="열어 본 하이퍼링크" xfId="4144" builtinId="9" hidden="1"/>
    <cellStyle name="열어 본 하이퍼링크" xfId="4146" builtinId="9" hidden="1"/>
    <cellStyle name="열어 본 하이퍼링크" xfId="4148" builtinId="9" hidden="1"/>
    <cellStyle name="열어 본 하이퍼링크" xfId="4150" builtinId="9" hidden="1"/>
    <cellStyle name="열어 본 하이퍼링크" xfId="4152" builtinId="9" hidden="1"/>
    <cellStyle name="열어 본 하이퍼링크" xfId="4154" builtinId="9" hidden="1"/>
    <cellStyle name="열어 본 하이퍼링크" xfId="4156" builtinId="9" hidden="1"/>
    <cellStyle name="열어 본 하이퍼링크" xfId="4158" builtinId="9" hidden="1"/>
    <cellStyle name="열어 본 하이퍼링크" xfId="4160" builtinId="9" hidden="1"/>
    <cellStyle name="열어 본 하이퍼링크" xfId="4162" builtinId="9" hidden="1"/>
    <cellStyle name="열어 본 하이퍼링크" xfId="4164" builtinId="9" hidden="1"/>
    <cellStyle name="열어 본 하이퍼링크" xfId="4166" builtinId="9" hidden="1"/>
    <cellStyle name="열어 본 하이퍼링크" xfId="4168" builtinId="9" hidden="1"/>
    <cellStyle name="열어 본 하이퍼링크" xfId="4170" builtinId="9" hidden="1"/>
    <cellStyle name="열어 본 하이퍼링크" xfId="4172" builtinId="9" hidden="1"/>
    <cellStyle name="열어 본 하이퍼링크" xfId="4174" builtinId="9" hidden="1"/>
    <cellStyle name="열어 본 하이퍼링크" xfId="4176" builtinId="9" hidden="1"/>
    <cellStyle name="열어 본 하이퍼링크" xfId="4178" builtinId="9" hidden="1"/>
    <cellStyle name="열어 본 하이퍼링크" xfId="4180" builtinId="9" hidden="1"/>
    <cellStyle name="열어 본 하이퍼링크" xfId="4182" builtinId="9" hidden="1"/>
    <cellStyle name="열어 본 하이퍼링크" xfId="4184" builtinId="9" hidden="1"/>
    <cellStyle name="열어 본 하이퍼링크" xfId="4186" builtinId="9" hidden="1"/>
    <cellStyle name="열어 본 하이퍼링크" xfId="4188" builtinId="9" hidden="1"/>
    <cellStyle name="열어 본 하이퍼링크" xfId="4190" builtinId="9" hidden="1"/>
    <cellStyle name="열어 본 하이퍼링크" xfId="4192" builtinId="9" hidden="1"/>
    <cellStyle name="열어 본 하이퍼링크" xfId="4194" builtinId="9" hidden="1"/>
    <cellStyle name="열어 본 하이퍼링크" xfId="4196" builtinId="9" hidden="1"/>
    <cellStyle name="열어 본 하이퍼링크" xfId="4198" builtinId="9" hidden="1"/>
    <cellStyle name="열어 본 하이퍼링크" xfId="4200" builtinId="9" hidden="1"/>
    <cellStyle name="열어 본 하이퍼링크" xfId="4202" builtinId="9" hidden="1"/>
    <cellStyle name="열어 본 하이퍼링크" xfId="4204" builtinId="9" hidden="1"/>
    <cellStyle name="열어 본 하이퍼링크" xfId="4206" builtinId="9" hidden="1"/>
    <cellStyle name="열어 본 하이퍼링크" xfId="4208" builtinId="9" hidden="1"/>
    <cellStyle name="열어 본 하이퍼링크" xfId="4210" builtinId="9" hidden="1"/>
    <cellStyle name="열어 본 하이퍼링크" xfId="4212" builtinId="9" hidden="1"/>
    <cellStyle name="열어 본 하이퍼링크" xfId="4214" builtinId="9" hidden="1"/>
    <cellStyle name="열어 본 하이퍼링크" xfId="4216" builtinId="9" hidden="1"/>
    <cellStyle name="열어 본 하이퍼링크" xfId="4218" builtinId="9" hidden="1"/>
    <cellStyle name="열어 본 하이퍼링크" xfId="4220" builtinId="9" hidden="1"/>
    <cellStyle name="열어 본 하이퍼링크" xfId="4222" builtinId="9" hidden="1"/>
    <cellStyle name="열어 본 하이퍼링크" xfId="4224" builtinId="9" hidden="1"/>
    <cellStyle name="열어 본 하이퍼링크" xfId="4226" builtinId="9" hidden="1"/>
    <cellStyle name="열어 본 하이퍼링크" xfId="4228" builtinId="9" hidden="1"/>
    <cellStyle name="열어 본 하이퍼링크" xfId="4230" builtinId="9" hidden="1"/>
    <cellStyle name="열어 본 하이퍼링크" xfId="4232" builtinId="9" hidden="1"/>
    <cellStyle name="열어 본 하이퍼링크" xfId="4234" builtinId="9" hidden="1"/>
    <cellStyle name="열어 본 하이퍼링크" xfId="4236" builtinId="9" hidden="1"/>
    <cellStyle name="열어 본 하이퍼링크" xfId="4238" builtinId="9" hidden="1"/>
    <cellStyle name="열어 본 하이퍼링크" xfId="4240" builtinId="9" hidden="1"/>
    <cellStyle name="열어 본 하이퍼링크" xfId="4242" builtinId="9" hidden="1"/>
    <cellStyle name="열어 본 하이퍼링크" xfId="4244" builtinId="9" hidden="1"/>
    <cellStyle name="열어 본 하이퍼링크" xfId="4246" builtinId="9" hidden="1"/>
    <cellStyle name="열어 본 하이퍼링크" xfId="4248" builtinId="9" hidden="1"/>
    <cellStyle name="열어 본 하이퍼링크" xfId="4250" builtinId="9" hidden="1"/>
    <cellStyle name="열어 본 하이퍼링크" xfId="4252" builtinId="9" hidden="1"/>
    <cellStyle name="열어 본 하이퍼링크" xfId="4254" builtinId="9" hidden="1"/>
    <cellStyle name="열어 본 하이퍼링크" xfId="4256" builtinId="9" hidden="1"/>
    <cellStyle name="열어 본 하이퍼링크" xfId="4258" builtinId="9" hidden="1"/>
    <cellStyle name="열어 본 하이퍼링크" xfId="4260" builtinId="9" hidden="1"/>
    <cellStyle name="열어 본 하이퍼링크" xfId="4262" builtinId="9" hidden="1"/>
    <cellStyle name="열어 본 하이퍼링크" xfId="4264" builtinId="9" hidden="1"/>
    <cellStyle name="열어 본 하이퍼링크" xfId="4266" builtinId="9" hidden="1"/>
    <cellStyle name="열어 본 하이퍼링크" xfId="4268" builtinId="9" hidden="1"/>
    <cellStyle name="열어 본 하이퍼링크" xfId="4270" builtinId="9" hidden="1"/>
    <cellStyle name="열어 본 하이퍼링크" xfId="4272" builtinId="9" hidden="1"/>
    <cellStyle name="열어 본 하이퍼링크" xfId="4274" builtinId="9" hidden="1"/>
    <cellStyle name="열어 본 하이퍼링크" xfId="4276" builtinId="9" hidden="1"/>
    <cellStyle name="열어 본 하이퍼링크" xfId="4278" builtinId="9" hidden="1"/>
    <cellStyle name="열어 본 하이퍼링크" xfId="4280" builtinId="9" hidden="1"/>
    <cellStyle name="열어 본 하이퍼링크" xfId="4282" builtinId="9" hidden="1"/>
    <cellStyle name="열어 본 하이퍼링크" xfId="4284" builtinId="9" hidden="1"/>
    <cellStyle name="열어 본 하이퍼링크" xfId="4286" builtinId="9" hidden="1"/>
    <cellStyle name="열어 본 하이퍼링크" xfId="4288" builtinId="9" hidden="1"/>
    <cellStyle name="열어 본 하이퍼링크" xfId="4290" builtinId="9" hidden="1"/>
    <cellStyle name="열어 본 하이퍼링크" xfId="4292" builtinId="9" hidden="1"/>
    <cellStyle name="열어 본 하이퍼링크" xfId="4294" builtinId="9" hidden="1"/>
    <cellStyle name="열어 본 하이퍼링크" xfId="4296" builtinId="9" hidden="1"/>
    <cellStyle name="열어 본 하이퍼링크" xfId="4298" builtinId="9" hidden="1"/>
    <cellStyle name="열어 본 하이퍼링크" xfId="4300" builtinId="9" hidden="1"/>
    <cellStyle name="열어 본 하이퍼링크" xfId="4302" builtinId="9" hidden="1"/>
    <cellStyle name="열어 본 하이퍼링크" xfId="4304" builtinId="9" hidden="1"/>
    <cellStyle name="열어 본 하이퍼링크" xfId="4306" builtinId="9" hidden="1"/>
    <cellStyle name="열어 본 하이퍼링크" xfId="4308" builtinId="9" hidden="1"/>
    <cellStyle name="열어 본 하이퍼링크" xfId="4310" builtinId="9" hidden="1"/>
    <cellStyle name="열어 본 하이퍼링크" xfId="4312" builtinId="9" hidden="1"/>
    <cellStyle name="열어 본 하이퍼링크" xfId="4314" builtinId="9" hidden="1"/>
    <cellStyle name="열어 본 하이퍼링크" xfId="4316" builtinId="9" hidden="1"/>
    <cellStyle name="열어 본 하이퍼링크" xfId="4318" builtinId="9" hidden="1"/>
    <cellStyle name="열어 본 하이퍼링크" xfId="4320" builtinId="9" hidden="1"/>
    <cellStyle name="열어 본 하이퍼링크" xfId="4322" builtinId="9" hidden="1"/>
    <cellStyle name="열어 본 하이퍼링크" xfId="4324" builtinId="9" hidden="1"/>
    <cellStyle name="열어 본 하이퍼링크" xfId="4326" builtinId="9" hidden="1"/>
    <cellStyle name="열어 본 하이퍼링크" xfId="4328" builtinId="9" hidden="1"/>
    <cellStyle name="열어 본 하이퍼링크" xfId="4330" builtinId="9" hidden="1"/>
    <cellStyle name="열어 본 하이퍼링크" xfId="4332" builtinId="9" hidden="1"/>
    <cellStyle name="열어 본 하이퍼링크" xfId="4334" builtinId="9" hidden="1"/>
    <cellStyle name="열어 본 하이퍼링크" xfId="4336" builtinId="9" hidden="1"/>
    <cellStyle name="열어 본 하이퍼링크" xfId="4338" builtinId="9" hidden="1"/>
    <cellStyle name="열어 본 하이퍼링크" xfId="4340" builtinId="9" hidden="1"/>
    <cellStyle name="열어 본 하이퍼링크" xfId="4342" builtinId="9" hidden="1"/>
    <cellStyle name="열어 본 하이퍼링크" xfId="4344" builtinId="9" hidden="1"/>
    <cellStyle name="열어 본 하이퍼링크" xfId="4346" builtinId="9" hidden="1"/>
    <cellStyle name="열어 본 하이퍼링크" xfId="4348" builtinId="9" hidden="1"/>
    <cellStyle name="열어 본 하이퍼링크" xfId="4350" builtinId="9" hidden="1"/>
    <cellStyle name="열어 본 하이퍼링크" xfId="4352" builtinId="9" hidden="1"/>
    <cellStyle name="열어 본 하이퍼링크" xfId="4354" builtinId="9" hidden="1"/>
    <cellStyle name="열어 본 하이퍼링크" xfId="4356" builtinId="9" hidden="1"/>
    <cellStyle name="열어 본 하이퍼링크" xfId="4358" builtinId="9" hidden="1"/>
    <cellStyle name="열어 본 하이퍼링크" xfId="4360" builtinId="9" hidden="1"/>
    <cellStyle name="열어 본 하이퍼링크" xfId="4362" builtinId="9" hidden="1"/>
    <cellStyle name="표준" xfId="0" builtinId="0"/>
    <cellStyle name="하이퍼링크" xfId="1" builtinId="8" hidden="1"/>
    <cellStyle name="하이퍼링크" xfId="3" builtinId="8" hidden="1"/>
    <cellStyle name="하이퍼링크" xfId="5" builtinId="8" hidden="1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  <cellStyle name="하이퍼링크" xfId="115" builtinId="8" hidden="1"/>
    <cellStyle name="하이퍼링크" xfId="117" builtinId="8" hidden="1"/>
    <cellStyle name="하이퍼링크" xfId="119" builtinId="8" hidden="1"/>
    <cellStyle name="하이퍼링크" xfId="121" builtinId="8" hidden="1"/>
    <cellStyle name="하이퍼링크" xfId="123" builtinId="8" hidden="1"/>
    <cellStyle name="하이퍼링크" xfId="125" builtinId="8" hidden="1"/>
    <cellStyle name="하이퍼링크" xfId="127" builtinId="8" hidden="1"/>
    <cellStyle name="하이퍼링크" xfId="129" builtinId="8" hidden="1"/>
    <cellStyle name="하이퍼링크" xfId="131" builtinId="8" hidden="1"/>
    <cellStyle name="하이퍼링크" xfId="133" builtinId="8" hidden="1"/>
    <cellStyle name="하이퍼링크" xfId="135" builtinId="8" hidden="1"/>
    <cellStyle name="하이퍼링크" xfId="137" builtinId="8" hidden="1"/>
    <cellStyle name="하이퍼링크" xfId="139" builtinId="8" hidden="1"/>
    <cellStyle name="하이퍼링크" xfId="141" builtinId="8" hidden="1"/>
    <cellStyle name="하이퍼링크" xfId="143" builtinId="8" hidden="1"/>
    <cellStyle name="하이퍼링크" xfId="145" builtinId="8" hidden="1"/>
    <cellStyle name="하이퍼링크" xfId="147" builtinId="8" hidden="1"/>
    <cellStyle name="하이퍼링크" xfId="149" builtinId="8" hidden="1"/>
    <cellStyle name="하이퍼링크" xfId="151" builtinId="8" hidden="1"/>
    <cellStyle name="하이퍼링크" xfId="153" builtinId="8" hidden="1"/>
    <cellStyle name="하이퍼링크" xfId="155" builtinId="8" hidden="1"/>
    <cellStyle name="하이퍼링크" xfId="157" builtinId="8" hidden="1"/>
    <cellStyle name="하이퍼링크" xfId="159" builtinId="8" hidden="1"/>
    <cellStyle name="하이퍼링크" xfId="161" builtinId="8" hidden="1"/>
    <cellStyle name="하이퍼링크" xfId="163" builtinId="8" hidden="1"/>
    <cellStyle name="하이퍼링크" xfId="165" builtinId="8" hidden="1"/>
    <cellStyle name="하이퍼링크" xfId="167" builtinId="8" hidden="1"/>
    <cellStyle name="하이퍼링크" xfId="169" builtinId="8" hidden="1"/>
    <cellStyle name="하이퍼링크" xfId="171" builtinId="8" hidden="1"/>
    <cellStyle name="하이퍼링크" xfId="173" builtinId="8" hidden="1"/>
    <cellStyle name="하이퍼링크" xfId="175" builtinId="8" hidden="1"/>
    <cellStyle name="하이퍼링크" xfId="177" builtinId="8" hidden="1"/>
    <cellStyle name="하이퍼링크" xfId="179" builtinId="8" hidden="1"/>
    <cellStyle name="하이퍼링크" xfId="181" builtinId="8" hidden="1"/>
    <cellStyle name="하이퍼링크" xfId="183" builtinId="8" hidden="1"/>
    <cellStyle name="하이퍼링크" xfId="185" builtinId="8" hidden="1"/>
    <cellStyle name="하이퍼링크" xfId="187" builtinId="8" hidden="1"/>
    <cellStyle name="하이퍼링크" xfId="189" builtinId="8" hidden="1"/>
    <cellStyle name="하이퍼링크" xfId="191" builtinId="8" hidden="1"/>
    <cellStyle name="하이퍼링크" xfId="193" builtinId="8" hidden="1"/>
    <cellStyle name="하이퍼링크" xfId="195" builtinId="8" hidden="1"/>
    <cellStyle name="하이퍼링크" xfId="197" builtinId="8" hidden="1"/>
    <cellStyle name="하이퍼링크" xfId="199" builtinId="8" hidden="1"/>
    <cellStyle name="하이퍼링크" xfId="201" builtinId="8" hidden="1"/>
    <cellStyle name="하이퍼링크" xfId="203" builtinId="8" hidden="1"/>
    <cellStyle name="하이퍼링크" xfId="205" builtinId="8" hidden="1"/>
    <cellStyle name="하이퍼링크" xfId="207" builtinId="8" hidden="1"/>
    <cellStyle name="하이퍼링크" xfId="209" builtinId="8" hidden="1"/>
    <cellStyle name="하이퍼링크" xfId="211" builtinId="8" hidden="1"/>
    <cellStyle name="하이퍼링크" xfId="213" builtinId="8" hidden="1"/>
    <cellStyle name="하이퍼링크" xfId="215" builtinId="8" hidden="1"/>
    <cellStyle name="하이퍼링크" xfId="217" builtinId="8" hidden="1"/>
    <cellStyle name="하이퍼링크" xfId="219" builtinId="8" hidden="1"/>
    <cellStyle name="하이퍼링크" xfId="221" builtinId="8" hidden="1"/>
    <cellStyle name="하이퍼링크" xfId="223" builtinId="8" hidden="1"/>
    <cellStyle name="하이퍼링크" xfId="225" builtinId="8" hidden="1"/>
    <cellStyle name="하이퍼링크" xfId="227" builtinId="8" hidden="1"/>
    <cellStyle name="하이퍼링크" xfId="229" builtinId="8" hidden="1"/>
    <cellStyle name="하이퍼링크" xfId="231" builtinId="8" hidden="1"/>
    <cellStyle name="하이퍼링크" xfId="233" builtinId="8" hidden="1"/>
    <cellStyle name="하이퍼링크" xfId="235" builtinId="8" hidden="1"/>
    <cellStyle name="하이퍼링크" xfId="237" builtinId="8" hidden="1"/>
    <cellStyle name="하이퍼링크" xfId="239" builtinId="8" hidden="1"/>
    <cellStyle name="하이퍼링크" xfId="241" builtinId="8" hidden="1"/>
    <cellStyle name="하이퍼링크" xfId="243" builtinId="8" hidden="1"/>
    <cellStyle name="하이퍼링크" xfId="245" builtinId="8" hidden="1"/>
    <cellStyle name="하이퍼링크" xfId="247" builtinId="8" hidden="1"/>
    <cellStyle name="하이퍼링크" xfId="249" builtinId="8" hidden="1"/>
    <cellStyle name="하이퍼링크" xfId="251" builtinId="8" hidden="1"/>
    <cellStyle name="하이퍼링크" xfId="253" builtinId="8" hidden="1"/>
    <cellStyle name="하이퍼링크" xfId="255" builtinId="8" hidden="1"/>
    <cellStyle name="하이퍼링크" xfId="257" builtinId="8" hidden="1"/>
    <cellStyle name="하이퍼링크" xfId="259" builtinId="8" hidden="1"/>
    <cellStyle name="하이퍼링크" xfId="261" builtinId="8" hidden="1"/>
    <cellStyle name="하이퍼링크" xfId="263" builtinId="8" hidden="1"/>
    <cellStyle name="하이퍼링크" xfId="265" builtinId="8" hidden="1"/>
    <cellStyle name="하이퍼링크" xfId="267" builtinId="8" hidden="1"/>
    <cellStyle name="하이퍼링크" xfId="269" builtinId="8" hidden="1"/>
    <cellStyle name="하이퍼링크" xfId="271" builtinId="8" hidden="1"/>
    <cellStyle name="하이퍼링크" xfId="273" builtinId="8" hidden="1"/>
    <cellStyle name="하이퍼링크" xfId="275" builtinId="8" hidden="1"/>
    <cellStyle name="하이퍼링크" xfId="277" builtinId="8" hidden="1"/>
    <cellStyle name="하이퍼링크" xfId="279" builtinId="8" hidden="1"/>
    <cellStyle name="하이퍼링크" xfId="281" builtinId="8" hidden="1"/>
    <cellStyle name="하이퍼링크" xfId="283" builtinId="8" hidden="1"/>
    <cellStyle name="하이퍼링크" xfId="285" builtinId="8" hidden="1"/>
    <cellStyle name="하이퍼링크" xfId="287" builtinId="8" hidden="1"/>
    <cellStyle name="하이퍼링크" xfId="289" builtinId="8" hidden="1"/>
    <cellStyle name="하이퍼링크" xfId="291" builtinId="8" hidden="1"/>
    <cellStyle name="하이퍼링크" xfId="293" builtinId="8" hidden="1"/>
    <cellStyle name="하이퍼링크" xfId="295" builtinId="8" hidden="1"/>
    <cellStyle name="하이퍼링크" xfId="297" builtinId="8" hidden="1"/>
    <cellStyle name="하이퍼링크" xfId="299" builtinId="8" hidden="1"/>
    <cellStyle name="하이퍼링크" xfId="301" builtinId="8" hidden="1"/>
    <cellStyle name="하이퍼링크" xfId="303" builtinId="8" hidden="1"/>
    <cellStyle name="하이퍼링크" xfId="305" builtinId="8" hidden="1"/>
    <cellStyle name="하이퍼링크" xfId="307" builtinId="8" hidden="1"/>
    <cellStyle name="하이퍼링크" xfId="309" builtinId="8" hidden="1"/>
    <cellStyle name="하이퍼링크" xfId="311" builtinId="8" hidden="1"/>
    <cellStyle name="하이퍼링크" xfId="313" builtinId="8" hidden="1"/>
    <cellStyle name="하이퍼링크" xfId="315" builtinId="8" hidden="1"/>
    <cellStyle name="하이퍼링크" xfId="317" builtinId="8" hidden="1"/>
    <cellStyle name="하이퍼링크" xfId="319" builtinId="8" hidden="1"/>
    <cellStyle name="하이퍼링크" xfId="321" builtinId="8" hidden="1"/>
    <cellStyle name="하이퍼링크" xfId="323" builtinId="8" hidden="1"/>
    <cellStyle name="하이퍼링크" xfId="325" builtinId="8" hidden="1"/>
    <cellStyle name="하이퍼링크" xfId="327" builtinId="8" hidden="1"/>
    <cellStyle name="하이퍼링크" xfId="329" builtinId="8" hidden="1"/>
    <cellStyle name="하이퍼링크" xfId="331" builtinId="8" hidden="1"/>
    <cellStyle name="하이퍼링크" xfId="333" builtinId="8" hidden="1"/>
    <cellStyle name="하이퍼링크" xfId="335" builtinId="8" hidden="1"/>
    <cellStyle name="하이퍼링크" xfId="337" builtinId="8" hidden="1"/>
    <cellStyle name="하이퍼링크" xfId="339" builtinId="8" hidden="1"/>
    <cellStyle name="하이퍼링크" xfId="341" builtinId="8" hidden="1"/>
    <cellStyle name="하이퍼링크" xfId="343" builtinId="8" hidden="1"/>
    <cellStyle name="하이퍼링크" xfId="345" builtinId="8" hidden="1"/>
    <cellStyle name="하이퍼링크" xfId="347" builtinId="8" hidden="1"/>
    <cellStyle name="하이퍼링크" xfId="349" builtinId="8" hidden="1"/>
    <cellStyle name="하이퍼링크" xfId="351" builtinId="8" hidden="1"/>
    <cellStyle name="하이퍼링크" xfId="353" builtinId="8" hidden="1"/>
    <cellStyle name="하이퍼링크" xfId="355" builtinId="8" hidden="1"/>
    <cellStyle name="하이퍼링크" xfId="357" builtinId="8" hidden="1"/>
    <cellStyle name="하이퍼링크" xfId="359" builtinId="8" hidden="1"/>
    <cellStyle name="하이퍼링크" xfId="361" builtinId="8" hidden="1"/>
    <cellStyle name="하이퍼링크" xfId="363" builtinId="8" hidden="1"/>
    <cellStyle name="하이퍼링크" xfId="365" builtinId="8" hidden="1"/>
    <cellStyle name="하이퍼링크" xfId="367" builtinId="8" hidden="1"/>
    <cellStyle name="하이퍼링크" xfId="369" builtinId="8" hidden="1"/>
    <cellStyle name="하이퍼링크" xfId="371" builtinId="8" hidden="1"/>
    <cellStyle name="하이퍼링크" xfId="373" builtinId="8" hidden="1"/>
    <cellStyle name="하이퍼링크" xfId="375" builtinId="8" hidden="1"/>
    <cellStyle name="하이퍼링크" xfId="377" builtinId="8" hidden="1"/>
    <cellStyle name="하이퍼링크" xfId="379" builtinId="8" hidden="1"/>
    <cellStyle name="하이퍼링크" xfId="381" builtinId="8" hidden="1"/>
    <cellStyle name="하이퍼링크" xfId="383" builtinId="8" hidden="1"/>
    <cellStyle name="하이퍼링크" xfId="385" builtinId="8" hidden="1"/>
    <cellStyle name="하이퍼링크" xfId="387" builtinId="8" hidden="1"/>
    <cellStyle name="하이퍼링크" xfId="389" builtinId="8" hidden="1"/>
    <cellStyle name="하이퍼링크" xfId="391" builtinId="8" hidden="1"/>
    <cellStyle name="하이퍼링크" xfId="393" builtinId="8" hidden="1"/>
    <cellStyle name="하이퍼링크" xfId="395" builtinId="8" hidden="1"/>
    <cellStyle name="하이퍼링크" xfId="397" builtinId="8" hidden="1"/>
    <cellStyle name="하이퍼링크" xfId="399" builtinId="8" hidden="1"/>
    <cellStyle name="하이퍼링크" xfId="401" builtinId="8" hidden="1"/>
    <cellStyle name="하이퍼링크" xfId="403" builtinId="8" hidden="1"/>
    <cellStyle name="하이퍼링크" xfId="405" builtinId="8" hidden="1"/>
    <cellStyle name="하이퍼링크" xfId="407" builtinId="8" hidden="1"/>
    <cellStyle name="하이퍼링크" xfId="409" builtinId="8" hidden="1"/>
    <cellStyle name="하이퍼링크" xfId="411" builtinId="8" hidden="1"/>
    <cellStyle name="하이퍼링크" xfId="413" builtinId="8" hidden="1"/>
    <cellStyle name="하이퍼링크" xfId="415" builtinId="8" hidden="1"/>
    <cellStyle name="하이퍼링크" xfId="417" builtinId="8" hidden="1"/>
    <cellStyle name="하이퍼링크" xfId="419" builtinId="8" hidden="1"/>
    <cellStyle name="하이퍼링크" xfId="421" builtinId="8" hidden="1"/>
    <cellStyle name="하이퍼링크" xfId="423" builtinId="8" hidden="1"/>
    <cellStyle name="하이퍼링크" xfId="425" builtinId="8" hidden="1"/>
    <cellStyle name="하이퍼링크" xfId="427" builtinId="8" hidden="1"/>
    <cellStyle name="하이퍼링크" xfId="429" builtinId="8" hidden="1"/>
    <cellStyle name="하이퍼링크" xfId="431" builtinId="8" hidden="1"/>
    <cellStyle name="하이퍼링크" xfId="433" builtinId="8" hidden="1"/>
    <cellStyle name="하이퍼링크" xfId="435" builtinId="8" hidden="1"/>
    <cellStyle name="하이퍼링크" xfId="437" builtinId="8" hidden="1"/>
    <cellStyle name="하이퍼링크" xfId="439" builtinId="8" hidden="1"/>
    <cellStyle name="하이퍼링크" xfId="441" builtinId="8" hidden="1"/>
    <cellStyle name="하이퍼링크" xfId="443" builtinId="8" hidden="1"/>
    <cellStyle name="하이퍼링크" xfId="445" builtinId="8" hidden="1"/>
    <cellStyle name="하이퍼링크" xfId="447" builtinId="8" hidden="1"/>
    <cellStyle name="하이퍼링크" xfId="449" builtinId="8" hidden="1"/>
    <cellStyle name="하이퍼링크" xfId="451" builtinId="8" hidden="1"/>
    <cellStyle name="하이퍼링크" xfId="453" builtinId="8" hidden="1"/>
    <cellStyle name="하이퍼링크" xfId="455" builtinId="8" hidden="1"/>
    <cellStyle name="하이퍼링크" xfId="457" builtinId="8" hidden="1"/>
    <cellStyle name="하이퍼링크" xfId="459" builtinId="8" hidden="1"/>
    <cellStyle name="하이퍼링크" xfId="461" builtinId="8" hidden="1"/>
    <cellStyle name="하이퍼링크" xfId="463" builtinId="8" hidden="1"/>
    <cellStyle name="하이퍼링크" xfId="465" builtinId="8" hidden="1"/>
    <cellStyle name="하이퍼링크" xfId="467" builtinId="8" hidden="1"/>
    <cellStyle name="하이퍼링크" xfId="469" builtinId="8" hidden="1"/>
    <cellStyle name="하이퍼링크" xfId="471" builtinId="8" hidden="1"/>
    <cellStyle name="하이퍼링크" xfId="473" builtinId="8" hidden="1"/>
    <cellStyle name="하이퍼링크" xfId="475" builtinId="8" hidden="1"/>
    <cellStyle name="하이퍼링크" xfId="477" builtinId="8" hidden="1"/>
    <cellStyle name="하이퍼링크" xfId="479" builtinId="8" hidden="1"/>
    <cellStyle name="하이퍼링크" xfId="481" builtinId="8" hidden="1"/>
    <cellStyle name="하이퍼링크" xfId="483" builtinId="8" hidden="1"/>
    <cellStyle name="하이퍼링크" xfId="485" builtinId="8" hidden="1"/>
    <cellStyle name="하이퍼링크" xfId="487" builtinId="8" hidden="1"/>
    <cellStyle name="하이퍼링크" xfId="489" builtinId="8" hidden="1"/>
    <cellStyle name="하이퍼링크" xfId="491" builtinId="8" hidden="1"/>
    <cellStyle name="하이퍼링크" xfId="493" builtinId="8" hidden="1"/>
    <cellStyle name="하이퍼링크" xfId="495" builtinId="8" hidden="1"/>
    <cellStyle name="하이퍼링크" xfId="497" builtinId="8" hidden="1"/>
    <cellStyle name="하이퍼링크" xfId="499" builtinId="8" hidden="1"/>
    <cellStyle name="하이퍼링크" xfId="501" builtinId="8" hidden="1"/>
    <cellStyle name="하이퍼링크" xfId="503" builtinId="8" hidden="1"/>
    <cellStyle name="하이퍼링크" xfId="505" builtinId="8" hidden="1"/>
    <cellStyle name="하이퍼링크" xfId="507" builtinId="8" hidden="1"/>
    <cellStyle name="하이퍼링크" xfId="509" builtinId="8" hidden="1"/>
    <cellStyle name="하이퍼링크" xfId="511" builtinId="8" hidden="1"/>
    <cellStyle name="하이퍼링크" xfId="513" builtinId="8" hidden="1"/>
    <cellStyle name="하이퍼링크" xfId="515" builtinId="8" hidden="1"/>
    <cellStyle name="하이퍼링크" xfId="517" builtinId="8" hidden="1"/>
    <cellStyle name="하이퍼링크" xfId="519" builtinId="8" hidden="1"/>
    <cellStyle name="하이퍼링크" xfId="521" builtinId="8" hidden="1"/>
    <cellStyle name="하이퍼링크" xfId="523" builtinId="8" hidden="1"/>
    <cellStyle name="하이퍼링크" xfId="525" builtinId="8" hidden="1"/>
    <cellStyle name="하이퍼링크" xfId="527" builtinId="8" hidden="1"/>
    <cellStyle name="하이퍼링크" xfId="529" builtinId="8" hidden="1"/>
    <cellStyle name="하이퍼링크" xfId="531" builtinId="8" hidden="1"/>
    <cellStyle name="하이퍼링크" xfId="533" builtinId="8" hidden="1"/>
    <cellStyle name="하이퍼링크" xfId="535" builtinId="8" hidden="1"/>
    <cellStyle name="하이퍼링크" xfId="537" builtinId="8" hidden="1"/>
    <cellStyle name="하이퍼링크" xfId="539" builtinId="8" hidden="1"/>
    <cellStyle name="하이퍼링크" xfId="541" builtinId="8" hidden="1"/>
    <cellStyle name="하이퍼링크" xfId="543" builtinId="8" hidden="1"/>
    <cellStyle name="하이퍼링크" xfId="545" builtinId="8" hidden="1"/>
    <cellStyle name="하이퍼링크" xfId="547" builtinId="8" hidden="1"/>
    <cellStyle name="하이퍼링크" xfId="549" builtinId="8" hidden="1"/>
    <cellStyle name="하이퍼링크" xfId="551" builtinId="8" hidden="1"/>
    <cellStyle name="하이퍼링크" xfId="553" builtinId="8" hidden="1"/>
    <cellStyle name="하이퍼링크" xfId="555" builtinId="8" hidden="1"/>
    <cellStyle name="하이퍼링크" xfId="557" builtinId="8" hidden="1"/>
    <cellStyle name="하이퍼링크" xfId="559" builtinId="8" hidden="1"/>
    <cellStyle name="하이퍼링크" xfId="561" builtinId="8" hidden="1"/>
    <cellStyle name="하이퍼링크" xfId="563" builtinId="8" hidden="1"/>
    <cellStyle name="하이퍼링크" xfId="565" builtinId="8" hidden="1"/>
    <cellStyle name="하이퍼링크" xfId="567" builtinId="8" hidden="1"/>
    <cellStyle name="하이퍼링크" xfId="569" builtinId="8" hidden="1"/>
    <cellStyle name="하이퍼링크" xfId="571" builtinId="8" hidden="1"/>
    <cellStyle name="하이퍼링크" xfId="573" builtinId="8" hidden="1"/>
    <cellStyle name="하이퍼링크" xfId="575" builtinId="8" hidden="1"/>
    <cellStyle name="하이퍼링크" xfId="577" builtinId="8" hidden="1"/>
    <cellStyle name="하이퍼링크" xfId="579" builtinId="8" hidden="1"/>
    <cellStyle name="하이퍼링크" xfId="581" builtinId="8" hidden="1"/>
    <cellStyle name="하이퍼링크" xfId="583" builtinId="8" hidden="1"/>
    <cellStyle name="하이퍼링크" xfId="585" builtinId="8" hidden="1"/>
    <cellStyle name="하이퍼링크" xfId="587" builtinId="8" hidden="1"/>
    <cellStyle name="하이퍼링크" xfId="589" builtinId="8" hidden="1"/>
    <cellStyle name="하이퍼링크" xfId="591" builtinId="8" hidden="1"/>
    <cellStyle name="하이퍼링크" xfId="593" builtinId="8" hidden="1"/>
    <cellStyle name="하이퍼링크" xfId="595" builtinId="8" hidden="1"/>
    <cellStyle name="하이퍼링크" xfId="597" builtinId="8" hidden="1"/>
    <cellStyle name="하이퍼링크" xfId="599" builtinId="8" hidden="1"/>
    <cellStyle name="하이퍼링크" xfId="601" builtinId="8" hidden="1"/>
    <cellStyle name="하이퍼링크" xfId="603" builtinId="8" hidden="1"/>
    <cellStyle name="하이퍼링크" xfId="605" builtinId="8" hidden="1"/>
    <cellStyle name="하이퍼링크" xfId="607" builtinId="8" hidden="1"/>
    <cellStyle name="하이퍼링크" xfId="609" builtinId="8" hidden="1"/>
    <cellStyle name="하이퍼링크" xfId="611" builtinId="8" hidden="1"/>
    <cellStyle name="하이퍼링크" xfId="613" builtinId="8" hidden="1"/>
    <cellStyle name="하이퍼링크" xfId="615" builtinId="8" hidden="1"/>
    <cellStyle name="하이퍼링크" xfId="617" builtinId="8" hidden="1"/>
    <cellStyle name="하이퍼링크" xfId="619" builtinId="8" hidden="1"/>
    <cellStyle name="하이퍼링크" xfId="621" builtinId="8" hidden="1"/>
    <cellStyle name="하이퍼링크" xfId="623" builtinId="8" hidden="1"/>
    <cellStyle name="하이퍼링크" xfId="625" builtinId="8" hidden="1"/>
    <cellStyle name="하이퍼링크" xfId="627" builtinId="8" hidden="1"/>
    <cellStyle name="하이퍼링크" xfId="629" builtinId="8" hidden="1"/>
    <cellStyle name="하이퍼링크" xfId="631" builtinId="8" hidden="1"/>
    <cellStyle name="하이퍼링크" xfId="633" builtinId="8" hidden="1"/>
    <cellStyle name="하이퍼링크" xfId="635" builtinId="8" hidden="1"/>
    <cellStyle name="하이퍼링크" xfId="637" builtinId="8" hidden="1"/>
    <cellStyle name="하이퍼링크" xfId="639" builtinId="8" hidden="1"/>
    <cellStyle name="하이퍼링크" xfId="641" builtinId="8" hidden="1"/>
    <cellStyle name="하이퍼링크" xfId="643" builtinId="8" hidden="1"/>
    <cellStyle name="하이퍼링크" xfId="645" builtinId="8" hidden="1"/>
    <cellStyle name="하이퍼링크" xfId="647" builtinId="8" hidden="1"/>
    <cellStyle name="하이퍼링크" xfId="649" builtinId="8" hidden="1"/>
    <cellStyle name="하이퍼링크" xfId="651" builtinId="8" hidden="1"/>
    <cellStyle name="하이퍼링크" xfId="653" builtinId="8" hidden="1"/>
    <cellStyle name="하이퍼링크" xfId="655" builtinId="8" hidden="1"/>
    <cellStyle name="하이퍼링크" xfId="657" builtinId="8" hidden="1"/>
    <cellStyle name="하이퍼링크" xfId="659" builtinId="8" hidden="1"/>
    <cellStyle name="하이퍼링크" xfId="661" builtinId="8" hidden="1"/>
    <cellStyle name="하이퍼링크" xfId="663" builtinId="8" hidden="1"/>
    <cellStyle name="하이퍼링크" xfId="665" builtinId="8" hidden="1"/>
    <cellStyle name="하이퍼링크" xfId="667" builtinId="8" hidden="1"/>
    <cellStyle name="하이퍼링크" xfId="669" builtinId="8" hidden="1"/>
    <cellStyle name="하이퍼링크" xfId="671" builtinId="8" hidden="1"/>
    <cellStyle name="하이퍼링크" xfId="673" builtinId="8" hidden="1"/>
    <cellStyle name="하이퍼링크" xfId="675" builtinId="8" hidden="1"/>
    <cellStyle name="하이퍼링크" xfId="677" builtinId="8" hidden="1"/>
    <cellStyle name="하이퍼링크" xfId="679" builtinId="8" hidden="1"/>
    <cellStyle name="하이퍼링크" xfId="681" builtinId="8" hidden="1"/>
    <cellStyle name="하이퍼링크" xfId="683" builtinId="8" hidden="1"/>
    <cellStyle name="하이퍼링크" xfId="685" builtinId="8" hidden="1"/>
    <cellStyle name="하이퍼링크" xfId="687" builtinId="8" hidden="1"/>
    <cellStyle name="하이퍼링크" xfId="689" builtinId="8" hidden="1"/>
    <cellStyle name="하이퍼링크" xfId="691" builtinId="8" hidden="1"/>
    <cellStyle name="하이퍼링크" xfId="693" builtinId="8" hidden="1"/>
    <cellStyle name="하이퍼링크" xfId="695" builtinId="8" hidden="1"/>
    <cellStyle name="하이퍼링크" xfId="697" builtinId="8" hidden="1"/>
    <cellStyle name="하이퍼링크" xfId="699" builtinId="8" hidden="1"/>
    <cellStyle name="하이퍼링크" xfId="701" builtinId="8" hidden="1"/>
    <cellStyle name="하이퍼링크" xfId="703" builtinId="8" hidden="1"/>
    <cellStyle name="하이퍼링크" xfId="705" builtinId="8" hidden="1"/>
    <cellStyle name="하이퍼링크" xfId="707" builtinId="8" hidden="1"/>
    <cellStyle name="하이퍼링크" xfId="709" builtinId="8" hidden="1"/>
    <cellStyle name="하이퍼링크" xfId="711" builtinId="8" hidden="1"/>
    <cellStyle name="하이퍼링크" xfId="713" builtinId="8" hidden="1"/>
    <cellStyle name="하이퍼링크" xfId="715" builtinId="8" hidden="1"/>
    <cellStyle name="하이퍼링크" xfId="717" builtinId="8" hidden="1"/>
    <cellStyle name="하이퍼링크" xfId="719" builtinId="8" hidden="1"/>
    <cellStyle name="하이퍼링크" xfId="721" builtinId="8" hidden="1"/>
    <cellStyle name="하이퍼링크" xfId="723" builtinId="8" hidden="1"/>
    <cellStyle name="하이퍼링크" xfId="725" builtinId="8" hidden="1"/>
    <cellStyle name="하이퍼링크" xfId="727" builtinId="8" hidden="1"/>
    <cellStyle name="하이퍼링크" xfId="729" builtinId="8" hidden="1"/>
    <cellStyle name="하이퍼링크" xfId="731" builtinId="8" hidden="1"/>
    <cellStyle name="하이퍼링크" xfId="733" builtinId="8" hidden="1"/>
    <cellStyle name="하이퍼링크" xfId="735" builtinId="8" hidden="1"/>
    <cellStyle name="하이퍼링크" xfId="737" builtinId="8" hidden="1"/>
    <cellStyle name="하이퍼링크" xfId="739" builtinId="8" hidden="1"/>
    <cellStyle name="하이퍼링크" xfId="741" builtinId="8" hidden="1"/>
    <cellStyle name="하이퍼링크" xfId="743" builtinId="8" hidden="1"/>
    <cellStyle name="하이퍼링크" xfId="745" builtinId="8" hidden="1"/>
    <cellStyle name="하이퍼링크" xfId="747" builtinId="8" hidden="1"/>
    <cellStyle name="하이퍼링크" xfId="749" builtinId="8" hidden="1"/>
    <cellStyle name="하이퍼링크" xfId="751" builtinId="8" hidden="1"/>
    <cellStyle name="하이퍼링크" xfId="753" builtinId="8" hidden="1"/>
    <cellStyle name="하이퍼링크" xfId="755" builtinId="8" hidden="1"/>
    <cellStyle name="하이퍼링크" xfId="757" builtinId="8" hidden="1"/>
    <cellStyle name="하이퍼링크" xfId="759" builtinId="8" hidden="1"/>
    <cellStyle name="하이퍼링크" xfId="761" builtinId="8" hidden="1"/>
    <cellStyle name="하이퍼링크" xfId="763" builtinId="8" hidden="1"/>
    <cellStyle name="하이퍼링크" xfId="765" builtinId="8" hidden="1"/>
    <cellStyle name="하이퍼링크" xfId="767" builtinId="8" hidden="1"/>
    <cellStyle name="하이퍼링크" xfId="769" builtinId="8" hidden="1"/>
    <cellStyle name="하이퍼링크" xfId="771" builtinId="8" hidden="1"/>
    <cellStyle name="하이퍼링크" xfId="773" builtinId="8" hidden="1"/>
    <cellStyle name="하이퍼링크" xfId="775" builtinId="8" hidden="1"/>
    <cellStyle name="하이퍼링크" xfId="777" builtinId="8" hidden="1"/>
    <cellStyle name="하이퍼링크" xfId="779" builtinId="8" hidden="1"/>
    <cellStyle name="하이퍼링크" xfId="781" builtinId="8" hidden="1"/>
    <cellStyle name="하이퍼링크" xfId="783" builtinId="8" hidden="1"/>
    <cellStyle name="하이퍼링크" xfId="785" builtinId="8" hidden="1"/>
    <cellStyle name="하이퍼링크" xfId="787" builtinId="8" hidden="1"/>
    <cellStyle name="하이퍼링크" xfId="789" builtinId="8" hidden="1"/>
    <cellStyle name="하이퍼링크" xfId="791" builtinId="8" hidden="1"/>
    <cellStyle name="하이퍼링크" xfId="793" builtinId="8" hidden="1"/>
    <cellStyle name="하이퍼링크" xfId="795" builtinId="8" hidden="1"/>
    <cellStyle name="하이퍼링크" xfId="797" builtinId="8" hidden="1"/>
    <cellStyle name="하이퍼링크" xfId="799" builtinId="8" hidden="1"/>
    <cellStyle name="하이퍼링크" xfId="801" builtinId="8" hidden="1"/>
    <cellStyle name="하이퍼링크" xfId="803" builtinId="8" hidden="1"/>
    <cellStyle name="하이퍼링크" xfId="805" builtinId="8" hidden="1"/>
    <cellStyle name="하이퍼링크" xfId="807" builtinId="8" hidden="1"/>
    <cellStyle name="하이퍼링크" xfId="809" builtinId="8" hidden="1"/>
    <cellStyle name="하이퍼링크" xfId="811" builtinId="8" hidden="1"/>
    <cellStyle name="하이퍼링크" xfId="813" builtinId="8" hidden="1"/>
    <cellStyle name="하이퍼링크" xfId="815" builtinId="8" hidden="1"/>
    <cellStyle name="하이퍼링크" xfId="817" builtinId="8" hidden="1"/>
    <cellStyle name="하이퍼링크" xfId="819" builtinId="8" hidden="1"/>
    <cellStyle name="하이퍼링크" xfId="821" builtinId="8" hidden="1"/>
    <cellStyle name="하이퍼링크" xfId="823" builtinId="8" hidden="1"/>
    <cellStyle name="하이퍼링크" xfId="825" builtinId="8" hidden="1"/>
    <cellStyle name="하이퍼링크" xfId="827" builtinId="8" hidden="1"/>
    <cellStyle name="하이퍼링크" xfId="829" builtinId="8" hidden="1"/>
    <cellStyle name="하이퍼링크" xfId="831" builtinId="8" hidden="1"/>
    <cellStyle name="하이퍼링크" xfId="833" builtinId="8" hidden="1"/>
    <cellStyle name="하이퍼링크" xfId="835" builtinId="8" hidden="1"/>
    <cellStyle name="하이퍼링크" xfId="837" builtinId="8" hidden="1"/>
    <cellStyle name="하이퍼링크" xfId="839" builtinId="8" hidden="1"/>
    <cellStyle name="하이퍼링크" xfId="841" builtinId="8" hidden="1"/>
    <cellStyle name="하이퍼링크" xfId="843" builtinId="8" hidden="1"/>
    <cellStyle name="하이퍼링크" xfId="845" builtinId="8" hidden="1"/>
    <cellStyle name="하이퍼링크" xfId="847" builtinId="8" hidden="1"/>
    <cellStyle name="하이퍼링크" xfId="849" builtinId="8" hidden="1"/>
    <cellStyle name="하이퍼링크" xfId="851" builtinId="8" hidden="1"/>
    <cellStyle name="하이퍼링크" xfId="853" builtinId="8" hidden="1"/>
    <cellStyle name="하이퍼링크" xfId="855" builtinId="8" hidden="1"/>
    <cellStyle name="하이퍼링크" xfId="857" builtinId="8" hidden="1"/>
    <cellStyle name="하이퍼링크" xfId="859" builtinId="8" hidden="1"/>
    <cellStyle name="하이퍼링크" xfId="861" builtinId="8" hidden="1"/>
    <cellStyle name="하이퍼링크" xfId="863" builtinId="8" hidden="1"/>
    <cellStyle name="하이퍼링크" xfId="865" builtinId="8" hidden="1"/>
    <cellStyle name="하이퍼링크" xfId="867" builtinId="8" hidden="1"/>
    <cellStyle name="하이퍼링크" xfId="869" builtinId="8" hidden="1"/>
    <cellStyle name="하이퍼링크" xfId="871" builtinId="8" hidden="1"/>
    <cellStyle name="하이퍼링크" xfId="873" builtinId="8" hidden="1"/>
    <cellStyle name="하이퍼링크" xfId="875" builtinId="8" hidden="1"/>
    <cellStyle name="하이퍼링크" xfId="877" builtinId="8" hidden="1"/>
    <cellStyle name="하이퍼링크" xfId="879" builtinId="8" hidden="1"/>
    <cellStyle name="하이퍼링크" xfId="881" builtinId="8" hidden="1"/>
    <cellStyle name="하이퍼링크" xfId="883" builtinId="8" hidden="1"/>
    <cellStyle name="하이퍼링크" xfId="885" builtinId="8" hidden="1"/>
    <cellStyle name="하이퍼링크" xfId="887" builtinId="8" hidden="1"/>
    <cellStyle name="하이퍼링크" xfId="889" builtinId="8" hidden="1"/>
    <cellStyle name="하이퍼링크" xfId="891" builtinId="8" hidden="1"/>
    <cellStyle name="하이퍼링크" xfId="893" builtinId="8" hidden="1"/>
    <cellStyle name="하이퍼링크" xfId="895" builtinId="8" hidden="1"/>
    <cellStyle name="하이퍼링크" xfId="897" builtinId="8" hidden="1"/>
    <cellStyle name="하이퍼링크" xfId="899" builtinId="8" hidden="1"/>
    <cellStyle name="하이퍼링크" xfId="901" builtinId="8" hidden="1"/>
    <cellStyle name="하이퍼링크" xfId="903" builtinId="8" hidden="1"/>
    <cellStyle name="하이퍼링크" xfId="905" builtinId="8" hidden="1"/>
    <cellStyle name="하이퍼링크" xfId="907" builtinId="8" hidden="1"/>
    <cellStyle name="하이퍼링크" xfId="909" builtinId="8" hidden="1"/>
    <cellStyle name="하이퍼링크" xfId="911" builtinId="8" hidden="1"/>
    <cellStyle name="하이퍼링크" xfId="913" builtinId="8" hidden="1"/>
    <cellStyle name="하이퍼링크" xfId="915" builtinId="8" hidden="1"/>
    <cellStyle name="하이퍼링크" xfId="917" builtinId="8" hidden="1"/>
    <cellStyle name="하이퍼링크" xfId="919" builtinId="8" hidden="1"/>
    <cellStyle name="하이퍼링크" xfId="921" builtinId="8" hidden="1"/>
    <cellStyle name="하이퍼링크" xfId="923" builtinId="8" hidden="1"/>
    <cellStyle name="하이퍼링크" xfId="925" builtinId="8" hidden="1"/>
    <cellStyle name="하이퍼링크" xfId="927" builtinId="8" hidden="1"/>
    <cellStyle name="하이퍼링크" xfId="929" builtinId="8" hidden="1"/>
    <cellStyle name="하이퍼링크" xfId="931" builtinId="8" hidden="1"/>
    <cellStyle name="하이퍼링크" xfId="933" builtinId="8" hidden="1"/>
    <cellStyle name="하이퍼링크" xfId="935" builtinId="8" hidden="1"/>
    <cellStyle name="하이퍼링크" xfId="937" builtinId="8" hidden="1"/>
    <cellStyle name="하이퍼링크" xfId="939" builtinId="8" hidden="1"/>
    <cellStyle name="하이퍼링크" xfId="941" builtinId="8" hidden="1"/>
    <cellStyle name="하이퍼링크" xfId="943" builtinId="8" hidden="1"/>
    <cellStyle name="하이퍼링크" xfId="945" builtinId="8" hidden="1"/>
    <cellStyle name="하이퍼링크" xfId="947" builtinId="8" hidden="1"/>
    <cellStyle name="하이퍼링크" xfId="949" builtinId="8" hidden="1"/>
    <cellStyle name="하이퍼링크" xfId="951" builtinId="8" hidden="1"/>
    <cellStyle name="하이퍼링크" xfId="953" builtinId="8" hidden="1"/>
    <cellStyle name="하이퍼링크" xfId="955" builtinId="8" hidden="1"/>
    <cellStyle name="하이퍼링크" xfId="957" builtinId="8" hidden="1"/>
    <cellStyle name="하이퍼링크" xfId="959" builtinId="8" hidden="1"/>
    <cellStyle name="하이퍼링크" xfId="961" builtinId="8" hidden="1"/>
    <cellStyle name="하이퍼링크" xfId="963" builtinId="8" hidden="1"/>
    <cellStyle name="하이퍼링크" xfId="965" builtinId="8" hidden="1"/>
    <cellStyle name="하이퍼링크" xfId="967" builtinId="8" hidden="1"/>
    <cellStyle name="하이퍼링크" xfId="969" builtinId="8" hidden="1"/>
    <cellStyle name="하이퍼링크" xfId="971" builtinId="8" hidden="1"/>
    <cellStyle name="하이퍼링크" xfId="973" builtinId="8" hidden="1"/>
    <cellStyle name="하이퍼링크" xfId="975" builtinId="8" hidden="1"/>
    <cellStyle name="하이퍼링크" xfId="977" builtinId="8" hidden="1"/>
    <cellStyle name="하이퍼링크" xfId="979" builtinId="8" hidden="1"/>
    <cellStyle name="하이퍼링크" xfId="981" builtinId="8" hidden="1"/>
    <cellStyle name="하이퍼링크" xfId="983" builtinId="8" hidden="1"/>
    <cellStyle name="하이퍼링크" xfId="985" builtinId="8" hidden="1"/>
    <cellStyle name="하이퍼링크" xfId="987" builtinId="8" hidden="1"/>
    <cellStyle name="하이퍼링크" xfId="989" builtinId="8" hidden="1"/>
    <cellStyle name="하이퍼링크" xfId="991" builtinId="8" hidden="1"/>
    <cellStyle name="하이퍼링크" xfId="993" builtinId="8" hidden="1"/>
    <cellStyle name="하이퍼링크" xfId="995" builtinId="8" hidden="1"/>
    <cellStyle name="하이퍼링크" xfId="997" builtinId="8" hidden="1"/>
    <cellStyle name="하이퍼링크" xfId="999" builtinId="8" hidden="1"/>
    <cellStyle name="하이퍼링크" xfId="1001" builtinId="8" hidden="1"/>
    <cellStyle name="하이퍼링크" xfId="1003" builtinId="8" hidden="1"/>
    <cellStyle name="하이퍼링크" xfId="1005" builtinId="8" hidden="1"/>
    <cellStyle name="하이퍼링크" xfId="1007" builtinId="8" hidden="1"/>
    <cellStyle name="하이퍼링크" xfId="1009" builtinId="8" hidden="1"/>
    <cellStyle name="하이퍼링크" xfId="1011" builtinId="8" hidden="1"/>
    <cellStyle name="하이퍼링크" xfId="1013" builtinId="8" hidden="1"/>
    <cellStyle name="하이퍼링크" xfId="1015" builtinId="8" hidden="1"/>
    <cellStyle name="하이퍼링크" xfId="1017" builtinId="8" hidden="1"/>
    <cellStyle name="하이퍼링크" xfId="1019" builtinId="8" hidden="1"/>
    <cellStyle name="하이퍼링크" xfId="1021" builtinId="8" hidden="1"/>
    <cellStyle name="하이퍼링크" xfId="1023" builtinId="8" hidden="1"/>
    <cellStyle name="하이퍼링크" xfId="1025" builtinId="8" hidden="1"/>
    <cellStyle name="하이퍼링크" xfId="1027" builtinId="8" hidden="1"/>
    <cellStyle name="하이퍼링크" xfId="1029" builtinId="8" hidden="1"/>
    <cellStyle name="하이퍼링크" xfId="1031" builtinId="8" hidden="1"/>
    <cellStyle name="하이퍼링크" xfId="1033" builtinId="8" hidden="1"/>
    <cellStyle name="하이퍼링크" xfId="1035" builtinId="8" hidden="1"/>
    <cellStyle name="하이퍼링크" xfId="1037" builtinId="8" hidden="1"/>
    <cellStyle name="하이퍼링크" xfId="1039" builtinId="8" hidden="1"/>
    <cellStyle name="하이퍼링크" xfId="1041" builtinId="8" hidden="1"/>
    <cellStyle name="하이퍼링크" xfId="1043" builtinId="8" hidden="1"/>
    <cellStyle name="하이퍼링크" xfId="1045" builtinId="8" hidden="1"/>
    <cellStyle name="하이퍼링크" xfId="1047" builtinId="8" hidden="1"/>
    <cellStyle name="하이퍼링크" xfId="1049" builtinId="8" hidden="1"/>
    <cellStyle name="하이퍼링크" xfId="1051" builtinId="8" hidden="1"/>
    <cellStyle name="하이퍼링크" xfId="1053" builtinId="8" hidden="1"/>
    <cellStyle name="하이퍼링크" xfId="1055" builtinId="8" hidden="1"/>
    <cellStyle name="하이퍼링크" xfId="1057" builtinId="8" hidden="1"/>
    <cellStyle name="하이퍼링크" xfId="1059" builtinId="8" hidden="1"/>
    <cellStyle name="하이퍼링크" xfId="1061" builtinId="8" hidden="1"/>
    <cellStyle name="하이퍼링크" xfId="1063" builtinId="8" hidden="1"/>
    <cellStyle name="하이퍼링크" xfId="1065" builtinId="8" hidden="1"/>
    <cellStyle name="하이퍼링크" xfId="1067" builtinId="8" hidden="1"/>
    <cellStyle name="하이퍼링크" xfId="1069" builtinId="8" hidden="1"/>
    <cellStyle name="하이퍼링크" xfId="1071" builtinId="8" hidden="1"/>
    <cellStyle name="하이퍼링크" xfId="1073" builtinId="8" hidden="1"/>
    <cellStyle name="하이퍼링크" xfId="1075" builtinId="8" hidden="1"/>
    <cellStyle name="하이퍼링크" xfId="1077" builtinId="8" hidden="1"/>
    <cellStyle name="하이퍼링크" xfId="1079" builtinId="8" hidden="1"/>
    <cellStyle name="하이퍼링크" xfId="1081" builtinId="8" hidden="1"/>
    <cellStyle name="하이퍼링크" xfId="1083" builtinId="8" hidden="1"/>
    <cellStyle name="하이퍼링크" xfId="1085" builtinId="8" hidden="1"/>
    <cellStyle name="하이퍼링크" xfId="1087" builtinId="8" hidden="1"/>
    <cellStyle name="하이퍼링크" xfId="1089" builtinId="8" hidden="1"/>
    <cellStyle name="하이퍼링크" xfId="1091" builtinId="8" hidden="1"/>
    <cellStyle name="하이퍼링크" xfId="1093" builtinId="8" hidden="1"/>
    <cellStyle name="하이퍼링크" xfId="1095" builtinId="8" hidden="1"/>
    <cellStyle name="하이퍼링크" xfId="1097" builtinId="8" hidden="1"/>
    <cellStyle name="하이퍼링크" xfId="1099" builtinId="8" hidden="1"/>
    <cellStyle name="하이퍼링크" xfId="1101" builtinId="8" hidden="1"/>
    <cellStyle name="하이퍼링크" xfId="1103" builtinId="8" hidden="1"/>
    <cellStyle name="하이퍼링크" xfId="1105" builtinId="8" hidden="1"/>
    <cellStyle name="하이퍼링크" xfId="1107" builtinId="8" hidden="1"/>
    <cellStyle name="하이퍼링크" xfId="1109" builtinId="8" hidden="1"/>
    <cellStyle name="하이퍼링크" xfId="1111" builtinId="8" hidden="1"/>
    <cellStyle name="하이퍼링크" xfId="1113" builtinId="8" hidden="1"/>
    <cellStyle name="하이퍼링크" xfId="1115" builtinId="8" hidden="1"/>
    <cellStyle name="하이퍼링크" xfId="1117" builtinId="8" hidden="1"/>
    <cellStyle name="하이퍼링크" xfId="1119" builtinId="8" hidden="1"/>
    <cellStyle name="하이퍼링크" xfId="1121" builtinId="8" hidden="1"/>
    <cellStyle name="하이퍼링크" xfId="1123" builtinId="8" hidden="1"/>
    <cellStyle name="하이퍼링크" xfId="1125" builtinId="8" hidden="1"/>
    <cellStyle name="하이퍼링크" xfId="1127" builtinId="8" hidden="1"/>
    <cellStyle name="하이퍼링크" xfId="1129" builtinId="8" hidden="1"/>
    <cellStyle name="하이퍼링크" xfId="1131" builtinId="8" hidden="1"/>
    <cellStyle name="하이퍼링크" xfId="1133" builtinId="8" hidden="1"/>
    <cellStyle name="하이퍼링크" xfId="1135" builtinId="8" hidden="1"/>
    <cellStyle name="하이퍼링크" xfId="1137" builtinId="8" hidden="1"/>
    <cellStyle name="하이퍼링크" xfId="1139" builtinId="8" hidden="1"/>
    <cellStyle name="하이퍼링크" xfId="1141" builtinId="8" hidden="1"/>
    <cellStyle name="하이퍼링크" xfId="1143" builtinId="8" hidden="1"/>
    <cellStyle name="하이퍼링크" xfId="1145" builtinId="8" hidden="1"/>
    <cellStyle name="하이퍼링크" xfId="1147" builtinId="8" hidden="1"/>
    <cellStyle name="하이퍼링크" xfId="1149" builtinId="8" hidden="1"/>
    <cellStyle name="하이퍼링크" xfId="1151" builtinId="8" hidden="1"/>
    <cellStyle name="하이퍼링크" xfId="1153" builtinId="8" hidden="1"/>
    <cellStyle name="하이퍼링크" xfId="1155" builtinId="8" hidden="1"/>
    <cellStyle name="하이퍼링크" xfId="1157" builtinId="8" hidden="1"/>
    <cellStyle name="하이퍼링크" xfId="1159" builtinId="8" hidden="1"/>
    <cellStyle name="하이퍼링크" xfId="1161" builtinId="8" hidden="1"/>
    <cellStyle name="하이퍼링크" xfId="1163" builtinId="8" hidden="1"/>
    <cellStyle name="하이퍼링크" xfId="1165" builtinId="8" hidden="1"/>
    <cellStyle name="하이퍼링크" xfId="1167" builtinId="8" hidden="1"/>
    <cellStyle name="하이퍼링크" xfId="1169" builtinId="8" hidden="1"/>
    <cellStyle name="하이퍼링크" xfId="1171" builtinId="8" hidden="1"/>
    <cellStyle name="하이퍼링크" xfId="1173" builtinId="8" hidden="1"/>
    <cellStyle name="하이퍼링크" xfId="1175" builtinId="8" hidden="1"/>
    <cellStyle name="하이퍼링크" xfId="1177" builtinId="8" hidden="1"/>
    <cellStyle name="하이퍼링크" xfId="1179" builtinId="8" hidden="1"/>
    <cellStyle name="하이퍼링크" xfId="1181" builtinId="8" hidden="1"/>
    <cellStyle name="하이퍼링크" xfId="1183" builtinId="8" hidden="1"/>
    <cellStyle name="하이퍼링크" xfId="1185" builtinId="8" hidden="1"/>
    <cellStyle name="하이퍼링크" xfId="1187" builtinId="8" hidden="1"/>
    <cellStyle name="하이퍼링크" xfId="1189" builtinId="8" hidden="1"/>
    <cellStyle name="하이퍼링크" xfId="1191" builtinId="8" hidden="1"/>
    <cellStyle name="하이퍼링크" xfId="1193" builtinId="8" hidden="1"/>
    <cellStyle name="하이퍼링크" xfId="1195" builtinId="8" hidden="1"/>
    <cellStyle name="하이퍼링크" xfId="1197" builtinId="8" hidden="1"/>
    <cellStyle name="하이퍼링크" xfId="1199" builtinId="8" hidden="1"/>
    <cellStyle name="하이퍼링크" xfId="1201" builtinId="8" hidden="1"/>
    <cellStyle name="하이퍼링크" xfId="1203" builtinId="8" hidden="1"/>
    <cellStyle name="하이퍼링크" xfId="1205" builtinId="8" hidden="1"/>
    <cellStyle name="하이퍼링크" xfId="1207" builtinId="8" hidden="1"/>
    <cellStyle name="하이퍼링크" xfId="1209" builtinId="8" hidden="1"/>
    <cellStyle name="하이퍼링크" xfId="1211" builtinId="8" hidden="1"/>
    <cellStyle name="하이퍼링크" xfId="1213" builtinId="8" hidden="1"/>
    <cellStyle name="하이퍼링크" xfId="1215" builtinId="8" hidden="1"/>
    <cellStyle name="하이퍼링크" xfId="1217" builtinId="8" hidden="1"/>
    <cellStyle name="하이퍼링크" xfId="1219" builtinId="8" hidden="1"/>
    <cellStyle name="하이퍼링크" xfId="1221" builtinId="8" hidden="1"/>
    <cellStyle name="하이퍼링크" xfId="1223" builtinId="8" hidden="1"/>
    <cellStyle name="하이퍼링크" xfId="1225" builtinId="8" hidden="1"/>
    <cellStyle name="하이퍼링크" xfId="1227" builtinId="8" hidden="1"/>
    <cellStyle name="하이퍼링크" xfId="1229" builtinId="8" hidden="1"/>
    <cellStyle name="하이퍼링크" xfId="1231" builtinId="8" hidden="1"/>
    <cellStyle name="하이퍼링크" xfId="1233" builtinId="8" hidden="1"/>
    <cellStyle name="하이퍼링크" xfId="1235" builtinId="8" hidden="1"/>
    <cellStyle name="하이퍼링크" xfId="1237" builtinId="8" hidden="1"/>
    <cellStyle name="하이퍼링크" xfId="1239" builtinId="8" hidden="1"/>
    <cellStyle name="하이퍼링크" xfId="1241" builtinId="8" hidden="1"/>
    <cellStyle name="하이퍼링크" xfId="1243" builtinId="8" hidden="1"/>
    <cellStyle name="하이퍼링크" xfId="1245" builtinId="8" hidden="1"/>
    <cellStyle name="하이퍼링크" xfId="1247" builtinId="8" hidden="1"/>
    <cellStyle name="하이퍼링크" xfId="1249" builtinId="8" hidden="1"/>
    <cellStyle name="하이퍼링크" xfId="1251" builtinId="8" hidden="1"/>
    <cellStyle name="하이퍼링크" xfId="1253" builtinId="8" hidden="1"/>
    <cellStyle name="하이퍼링크" xfId="1255" builtinId="8" hidden="1"/>
    <cellStyle name="하이퍼링크" xfId="1257" builtinId="8" hidden="1"/>
    <cellStyle name="하이퍼링크" xfId="1259" builtinId="8" hidden="1"/>
    <cellStyle name="하이퍼링크" xfId="1261" builtinId="8" hidden="1"/>
    <cellStyle name="하이퍼링크" xfId="1263" builtinId="8" hidden="1"/>
    <cellStyle name="하이퍼링크" xfId="1265" builtinId="8" hidden="1"/>
    <cellStyle name="하이퍼링크" xfId="1267" builtinId="8" hidden="1"/>
    <cellStyle name="하이퍼링크" xfId="1269" builtinId="8" hidden="1"/>
    <cellStyle name="하이퍼링크" xfId="1271" builtinId="8" hidden="1"/>
    <cellStyle name="하이퍼링크" xfId="1273" builtinId="8" hidden="1"/>
    <cellStyle name="하이퍼링크" xfId="1275" builtinId="8" hidden="1"/>
    <cellStyle name="하이퍼링크" xfId="1277" builtinId="8" hidden="1"/>
    <cellStyle name="하이퍼링크" xfId="1279" builtinId="8" hidden="1"/>
    <cellStyle name="하이퍼링크" xfId="1281" builtinId="8" hidden="1"/>
    <cellStyle name="하이퍼링크" xfId="1283" builtinId="8" hidden="1"/>
    <cellStyle name="하이퍼링크" xfId="1285" builtinId="8" hidden="1"/>
    <cellStyle name="하이퍼링크" xfId="1287" builtinId="8" hidden="1"/>
    <cellStyle name="하이퍼링크" xfId="1289" builtinId="8" hidden="1"/>
    <cellStyle name="하이퍼링크" xfId="1291" builtinId="8" hidden="1"/>
    <cellStyle name="하이퍼링크" xfId="1293" builtinId="8" hidden="1"/>
    <cellStyle name="하이퍼링크" xfId="1295" builtinId="8" hidden="1"/>
    <cellStyle name="하이퍼링크" xfId="1297" builtinId="8" hidden="1"/>
    <cellStyle name="하이퍼링크" xfId="1299" builtinId="8" hidden="1"/>
    <cellStyle name="하이퍼링크" xfId="1301" builtinId="8" hidden="1"/>
    <cellStyle name="하이퍼링크" xfId="1303" builtinId="8" hidden="1"/>
    <cellStyle name="하이퍼링크" xfId="1305" builtinId="8" hidden="1"/>
    <cellStyle name="하이퍼링크" xfId="1307" builtinId="8" hidden="1"/>
    <cellStyle name="하이퍼링크" xfId="1309" builtinId="8" hidden="1"/>
    <cellStyle name="하이퍼링크" xfId="1311" builtinId="8" hidden="1"/>
    <cellStyle name="하이퍼링크" xfId="1313" builtinId="8" hidden="1"/>
    <cellStyle name="하이퍼링크" xfId="1315" builtinId="8" hidden="1"/>
    <cellStyle name="하이퍼링크" xfId="1317" builtinId="8" hidden="1"/>
    <cellStyle name="하이퍼링크" xfId="1319" builtinId="8" hidden="1"/>
    <cellStyle name="하이퍼링크" xfId="1321" builtinId="8" hidden="1"/>
    <cellStyle name="하이퍼링크" xfId="1323" builtinId="8" hidden="1"/>
    <cellStyle name="하이퍼링크" xfId="1325" builtinId="8" hidden="1"/>
    <cellStyle name="하이퍼링크" xfId="1327" builtinId="8" hidden="1"/>
    <cellStyle name="하이퍼링크" xfId="1329" builtinId="8" hidden="1"/>
    <cellStyle name="하이퍼링크" xfId="1331" builtinId="8" hidden="1"/>
    <cellStyle name="하이퍼링크" xfId="1333" builtinId="8" hidden="1"/>
    <cellStyle name="하이퍼링크" xfId="1335" builtinId="8" hidden="1"/>
    <cellStyle name="하이퍼링크" xfId="1337" builtinId="8" hidden="1"/>
    <cellStyle name="하이퍼링크" xfId="1339" builtinId="8" hidden="1"/>
    <cellStyle name="하이퍼링크" xfId="1341" builtinId="8" hidden="1"/>
    <cellStyle name="하이퍼링크" xfId="1343" builtinId="8" hidden="1"/>
    <cellStyle name="하이퍼링크" xfId="1345" builtinId="8" hidden="1"/>
    <cellStyle name="하이퍼링크" xfId="1347" builtinId="8" hidden="1"/>
    <cellStyle name="하이퍼링크" xfId="1349" builtinId="8" hidden="1"/>
    <cellStyle name="하이퍼링크" xfId="1351" builtinId="8" hidden="1"/>
    <cellStyle name="하이퍼링크" xfId="1353" builtinId="8" hidden="1"/>
    <cellStyle name="하이퍼링크" xfId="1355" builtinId="8" hidden="1"/>
    <cellStyle name="하이퍼링크" xfId="1357" builtinId="8" hidden="1"/>
    <cellStyle name="하이퍼링크" xfId="1359" builtinId="8" hidden="1"/>
    <cellStyle name="하이퍼링크" xfId="1361" builtinId="8" hidden="1"/>
    <cellStyle name="하이퍼링크" xfId="1363" builtinId="8" hidden="1"/>
    <cellStyle name="하이퍼링크" xfId="1365" builtinId="8" hidden="1"/>
    <cellStyle name="하이퍼링크" xfId="1367" builtinId="8" hidden="1"/>
    <cellStyle name="하이퍼링크" xfId="1369" builtinId="8" hidden="1"/>
    <cellStyle name="하이퍼링크" xfId="1371" builtinId="8" hidden="1"/>
    <cellStyle name="하이퍼링크" xfId="1373" builtinId="8" hidden="1"/>
    <cellStyle name="하이퍼링크" xfId="1375" builtinId="8" hidden="1"/>
    <cellStyle name="하이퍼링크" xfId="1377" builtinId="8" hidden="1"/>
    <cellStyle name="하이퍼링크" xfId="1379" builtinId="8" hidden="1"/>
    <cellStyle name="하이퍼링크" xfId="1381" builtinId="8" hidden="1"/>
    <cellStyle name="하이퍼링크" xfId="1383" builtinId="8" hidden="1"/>
    <cellStyle name="하이퍼링크" xfId="1385" builtinId="8" hidden="1"/>
    <cellStyle name="하이퍼링크" xfId="1387" builtinId="8" hidden="1"/>
    <cellStyle name="하이퍼링크" xfId="1389" builtinId="8" hidden="1"/>
    <cellStyle name="하이퍼링크" xfId="1391" builtinId="8" hidden="1"/>
    <cellStyle name="하이퍼링크" xfId="1393" builtinId="8" hidden="1"/>
    <cellStyle name="하이퍼링크" xfId="1395" builtinId="8" hidden="1"/>
    <cellStyle name="하이퍼링크" xfId="1397" builtinId="8" hidden="1"/>
    <cellStyle name="하이퍼링크" xfId="1399" builtinId="8" hidden="1"/>
    <cellStyle name="하이퍼링크" xfId="1401" builtinId="8" hidden="1"/>
    <cellStyle name="하이퍼링크" xfId="1403" builtinId="8" hidden="1"/>
    <cellStyle name="하이퍼링크" xfId="1405" builtinId="8" hidden="1"/>
    <cellStyle name="하이퍼링크" xfId="1407" builtinId="8" hidden="1"/>
    <cellStyle name="하이퍼링크" xfId="1409" builtinId="8" hidden="1"/>
    <cellStyle name="하이퍼링크" xfId="1411" builtinId="8" hidden="1"/>
    <cellStyle name="하이퍼링크" xfId="1413" builtinId="8" hidden="1"/>
    <cellStyle name="하이퍼링크" xfId="1415" builtinId="8" hidden="1"/>
    <cellStyle name="하이퍼링크" xfId="1417" builtinId="8" hidden="1"/>
    <cellStyle name="하이퍼링크" xfId="1419" builtinId="8" hidden="1"/>
    <cellStyle name="하이퍼링크" xfId="1421" builtinId="8" hidden="1"/>
    <cellStyle name="하이퍼링크" xfId="1423" builtinId="8" hidden="1"/>
    <cellStyle name="하이퍼링크" xfId="1425" builtinId="8" hidden="1"/>
    <cellStyle name="하이퍼링크" xfId="1427" builtinId="8" hidden="1"/>
    <cellStyle name="하이퍼링크" xfId="1429" builtinId="8" hidden="1"/>
    <cellStyle name="하이퍼링크" xfId="1431" builtinId="8" hidden="1"/>
    <cellStyle name="하이퍼링크" xfId="1433" builtinId="8" hidden="1"/>
    <cellStyle name="하이퍼링크" xfId="1435" builtinId="8" hidden="1"/>
    <cellStyle name="하이퍼링크" xfId="1437" builtinId="8" hidden="1"/>
    <cellStyle name="하이퍼링크" xfId="1439" builtinId="8" hidden="1"/>
    <cellStyle name="하이퍼링크" xfId="1441" builtinId="8" hidden="1"/>
    <cellStyle name="하이퍼링크" xfId="1443" builtinId="8" hidden="1"/>
    <cellStyle name="하이퍼링크" xfId="1445" builtinId="8" hidden="1"/>
    <cellStyle name="하이퍼링크" xfId="1447" builtinId="8" hidden="1"/>
    <cellStyle name="하이퍼링크" xfId="1449" builtinId="8" hidden="1"/>
    <cellStyle name="하이퍼링크" xfId="1451" builtinId="8" hidden="1"/>
    <cellStyle name="하이퍼링크" xfId="1453" builtinId="8" hidden="1"/>
    <cellStyle name="하이퍼링크" xfId="1455" builtinId="8" hidden="1"/>
    <cellStyle name="하이퍼링크" xfId="1457" builtinId="8" hidden="1"/>
    <cellStyle name="하이퍼링크" xfId="1459" builtinId="8" hidden="1"/>
    <cellStyle name="하이퍼링크" xfId="1461" builtinId="8" hidden="1"/>
    <cellStyle name="하이퍼링크" xfId="1463" builtinId="8" hidden="1"/>
    <cellStyle name="하이퍼링크" xfId="1465" builtinId="8" hidden="1"/>
    <cellStyle name="하이퍼링크" xfId="1467" builtinId="8" hidden="1"/>
    <cellStyle name="하이퍼링크" xfId="1469" builtinId="8" hidden="1"/>
    <cellStyle name="하이퍼링크" xfId="1471" builtinId="8" hidden="1"/>
    <cellStyle name="하이퍼링크" xfId="1473" builtinId="8" hidden="1"/>
    <cellStyle name="하이퍼링크" xfId="1475" builtinId="8" hidden="1"/>
    <cellStyle name="하이퍼링크" xfId="1477" builtinId="8" hidden="1"/>
    <cellStyle name="하이퍼링크" xfId="1479" builtinId="8" hidden="1"/>
    <cellStyle name="하이퍼링크" xfId="1481" builtinId="8" hidden="1"/>
    <cellStyle name="하이퍼링크" xfId="1483" builtinId="8" hidden="1"/>
    <cellStyle name="하이퍼링크" xfId="1485" builtinId="8" hidden="1"/>
    <cellStyle name="하이퍼링크" xfId="1487" builtinId="8" hidden="1"/>
    <cellStyle name="하이퍼링크" xfId="1489" builtinId="8" hidden="1"/>
    <cellStyle name="하이퍼링크" xfId="1491" builtinId="8" hidden="1"/>
    <cellStyle name="하이퍼링크" xfId="1493" builtinId="8" hidden="1"/>
    <cellStyle name="하이퍼링크" xfId="1495" builtinId="8" hidden="1"/>
    <cellStyle name="하이퍼링크" xfId="1497" builtinId="8" hidden="1"/>
    <cellStyle name="하이퍼링크" xfId="1499" builtinId="8" hidden="1"/>
    <cellStyle name="하이퍼링크" xfId="1501" builtinId="8" hidden="1"/>
    <cellStyle name="하이퍼링크" xfId="1503" builtinId="8" hidden="1"/>
    <cellStyle name="하이퍼링크" xfId="1505" builtinId="8" hidden="1"/>
    <cellStyle name="하이퍼링크" xfId="1507" builtinId="8" hidden="1"/>
    <cellStyle name="하이퍼링크" xfId="1509" builtinId="8" hidden="1"/>
    <cellStyle name="하이퍼링크" xfId="1511" builtinId="8" hidden="1"/>
    <cellStyle name="하이퍼링크" xfId="1513" builtinId="8" hidden="1"/>
    <cellStyle name="하이퍼링크" xfId="1515" builtinId="8" hidden="1"/>
    <cellStyle name="하이퍼링크" xfId="1517" builtinId="8" hidden="1"/>
    <cellStyle name="하이퍼링크" xfId="1519" builtinId="8" hidden="1"/>
    <cellStyle name="하이퍼링크" xfId="1521" builtinId="8" hidden="1"/>
    <cellStyle name="하이퍼링크" xfId="1523" builtinId="8" hidden="1"/>
    <cellStyle name="하이퍼링크" xfId="1525" builtinId="8" hidden="1"/>
    <cellStyle name="하이퍼링크" xfId="1527" builtinId="8" hidden="1"/>
    <cellStyle name="하이퍼링크" xfId="1529" builtinId="8" hidden="1"/>
    <cellStyle name="하이퍼링크" xfId="1531" builtinId="8" hidden="1"/>
    <cellStyle name="하이퍼링크" xfId="1533" builtinId="8" hidden="1"/>
    <cellStyle name="하이퍼링크" xfId="1535" builtinId="8" hidden="1"/>
    <cellStyle name="하이퍼링크" xfId="1537" builtinId="8" hidden="1"/>
    <cellStyle name="하이퍼링크" xfId="1539" builtinId="8" hidden="1"/>
    <cellStyle name="하이퍼링크" xfId="1541" builtinId="8" hidden="1"/>
    <cellStyle name="하이퍼링크" xfId="1543" builtinId="8" hidden="1"/>
    <cellStyle name="하이퍼링크" xfId="1545" builtinId="8" hidden="1"/>
    <cellStyle name="하이퍼링크" xfId="1547" builtinId="8" hidden="1"/>
    <cellStyle name="하이퍼링크" xfId="1549" builtinId="8" hidden="1"/>
    <cellStyle name="하이퍼링크" xfId="1551" builtinId="8" hidden="1"/>
    <cellStyle name="하이퍼링크" xfId="1553" builtinId="8" hidden="1"/>
    <cellStyle name="하이퍼링크" xfId="1555" builtinId="8" hidden="1"/>
    <cellStyle name="하이퍼링크" xfId="1557" builtinId="8" hidden="1"/>
    <cellStyle name="하이퍼링크" xfId="1559" builtinId="8" hidden="1"/>
    <cellStyle name="하이퍼링크" xfId="1561" builtinId="8" hidden="1"/>
    <cellStyle name="하이퍼링크" xfId="1563" builtinId="8" hidden="1"/>
    <cellStyle name="하이퍼링크" xfId="1565" builtinId="8" hidden="1"/>
    <cellStyle name="하이퍼링크" xfId="1567" builtinId="8" hidden="1"/>
    <cellStyle name="하이퍼링크" xfId="1569" builtinId="8" hidden="1"/>
    <cellStyle name="하이퍼링크" xfId="1571" builtinId="8" hidden="1"/>
    <cellStyle name="하이퍼링크" xfId="1573" builtinId="8" hidden="1"/>
    <cellStyle name="하이퍼링크" xfId="1575" builtinId="8" hidden="1"/>
    <cellStyle name="하이퍼링크" xfId="1577" builtinId="8" hidden="1"/>
    <cellStyle name="하이퍼링크" xfId="1579" builtinId="8" hidden="1"/>
    <cellStyle name="하이퍼링크" xfId="1581" builtinId="8" hidden="1"/>
    <cellStyle name="하이퍼링크" xfId="1583" builtinId="8" hidden="1"/>
    <cellStyle name="하이퍼링크" xfId="1585" builtinId="8" hidden="1"/>
    <cellStyle name="하이퍼링크" xfId="1587" builtinId="8" hidden="1"/>
    <cellStyle name="하이퍼링크" xfId="1589" builtinId="8" hidden="1"/>
    <cellStyle name="하이퍼링크" xfId="1591" builtinId="8" hidden="1"/>
    <cellStyle name="하이퍼링크" xfId="1593" builtinId="8" hidden="1"/>
    <cellStyle name="하이퍼링크" xfId="1595" builtinId="8" hidden="1"/>
    <cellStyle name="하이퍼링크" xfId="1597" builtinId="8" hidden="1"/>
    <cellStyle name="하이퍼링크" xfId="1599" builtinId="8" hidden="1"/>
    <cellStyle name="하이퍼링크" xfId="1601" builtinId="8" hidden="1"/>
    <cellStyle name="하이퍼링크" xfId="1603" builtinId="8" hidden="1"/>
    <cellStyle name="하이퍼링크" xfId="1605" builtinId="8" hidden="1"/>
    <cellStyle name="하이퍼링크" xfId="1607" builtinId="8" hidden="1"/>
    <cellStyle name="하이퍼링크" xfId="1609" builtinId="8" hidden="1"/>
    <cellStyle name="하이퍼링크" xfId="1611" builtinId="8" hidden="1"/>
    <cellStyle name="하이퍼링크" xfId="1613" builtinId="8" hidden="1"/>
    <cellStyle name="하이퍼링크" xfId="1615" builtinId="8" hidden="1"/>
    <cellStyle name="하이퍼링크" xfId="1617" builtinId="8" hidden="1"/>
    <cellStyle name="하이퍼링크" xfId="1619" builtinId="8" hidden="1"/>
    <cellStyle name="하이퍼링크" xfId="1621" builtinId="8" hidden="1"/>
    <cellStyle name="하이퍼링크" xfId="1623" builtinId="8" hidden="1"/>
    <cellStyle name="하이퍼링크" xfId="1625" builtinId="8" hidden="1"/>
    <cellStyle name="하이퍼링크" xfId="1627" builtinId="8" hidden="1"/>
    <cellStyle name="하이퍼링크" xfId="1629" builtinId="8" hidden="1"/>
    <cellStyle name="하이퍼링크" xfId="1631" builtinId="8" hidden="1"/>
    <cellStyle name="하이퍼링크" xfId="1633" builtinId="8" hidden="1"/>
    <cellStyle name="하이퍼링크" xfId="1635" builtinId="8" hidden="1"/>
    <cellStyle name="하이퍼링크" xfId="1637" builtinId="8" hidden="1"/>
    <cellStyle name="하이퍼링크" xfId="1639" builtinId="8" hidden="1"/>
    <cellStyle name="하이퍼링크" xfId="1641" builtinId="8" hidden="1"/>
    <cellStyle name="하이퍼링크" xfId="1643" builtinId="8" hidden="1"/>
    <cellStyle name="하이퍼링크" xfId="1645" builtinId="8" hidden="1"/>
    <cellStyle name="하이퍼링크" xfId="1647" builtinId="8" hidden="1"/>
    <cellStyle name="하이퍼링크" xfId="1649" builtinId="8" hidden="1"/>
    <cellStyle name="하이퍼링크" xfId="1651" builtinId="8" hidden="1"/>
    <cellStyle name="하이퍼링크" xfId="1653" builtinId="8" hidden="1"/>
    <cellStyle name="하이퍼링크" xfId="1655" builtinId="8" hidden="1"/>
    <cellStyle name="하이퍼링크" xfId="1657" builtinId="8" hidden="1"/>
    <cellStyle name="하이퍼링크" xfId="1659" builtinId="8" hidden="1"/>
    <cellStyle name="하이퍼링크" xfId="1661" builtinId="8" hidden="1"/>
    <cellStyle name="하이퍼링크" xfId="1663" builtinId="8" hidden="1"/>
    <cellStyle name="하이퍼링크" xfId="1665" builtinId="8" hidden="1"/>
    <cellStyle name="하이퍼링크" xfId="1667" builtinId="8" hidden="1"/>
    <cellStyle name="하이퍼링크" xfId="1669" builtinId="8" hidden="1"/>
    <cellStyle name="하이퍼링크" xfId="1671" builtinId="8" hidden="1"/>
    <cellStyle name="하이퍼링크" xfId="1673" builtinId="8" hidden="1"/>
    <cellStyle name="하이퍼링크" xfId="1675" builtinId="8" hidden="1"/>
    <cellStyle name="하이퍼링크" xfId="1677" builtinId="8" hidden="1"/>
    <cellStyle name="하이퍼링크" xfId="1679" builtinId="8" hidden="1"/>
    <cellStyle name="하이퍼링크" xfId="1681" builtinId="8" hidden="1"/>
    <cellStyle name="하이퍼링크" xfId="1683" builtinId="8" hidden="1"/>
    <cellStyle name="하이퍼링크" xfId="1685" builtinId="8" hidden="1"/>
    <cellStyle name="하이퍼링크" xfId="1687" builtinId="8" hidden="1"/>
    <cellStyle name="하이퍼링크" xfId="1689" builtinId="8" hidden="1"/>
    <cellStyle name="하이퍼링크" xfId="1691" builtinId="8" hidden="1"/>
    <cellStyle name="하이퍼링크" xfId="1693" builtinId="8" hidden="1"/>
    <cellStyle name="하이퍼링크" xfId="1695" builtinId="8" hidden="1"/>
    <cellStyle name="하이퍼링크" xfId="1697" builtinId="8" hidden="1"/>
    <cellStyle name="하이퍼링크" xfId="1699" builtinId="8" hidden="1"/>
    <cellStyle name="하이퍼링크" xfId="1701" builtinId="8" hidden="1"/>
    <cellStyle name="하이퍼링크" xfId="1703" builtinId="8" hidden="1"/>
    <cellStyle name="하이퍼링크" xfId="1705" builtinId="8" hidden="1"/>
    <cellStyle name="하이퍼링크" xfId="1707" builtinId="8" hidden="1"/>
    <cellStyle name="하이퍼링크" xfId="1709" builtinId="8" hidden="1"/>
    <cellStyle name="하이퍼링크" xfId="1711" builtinId="8" hidden="1"/>
    <cellStyle name="하이퍼링크" xfId="1713" builtinId="8" hidden="1"/>
    <cellStyle name="하이퍼링크" xfId="1715" builtinId="8" hidden="1"/>
    <cellStyle name="하이퍼링크" xfId="1717" builtinId="8" hidden="1"/>
    <cellStyle name="하이퍼링크" xfId="1719" builtinId="8" hidden="1"/>
    <cellStyle name="하이퍼링크" xfId="1721" builtinId="8" hidden="1"/>
    <cellStyle name="하이퍼링크" xfId="1723" builtinId="8" hidden="1"/>
    <cellStyle name="하이퍼링크" xfId="1725" builtinId="8" hidden="1"/>
    <cellStyle name="하이퍼링크" xfId="1727" builtinId="8" hidden="1"/>
    <cellStyle name="하이퍼링크" xfId="1729" builtinId="8" hidden="1"/>
    <cellStyle name="하이퍼링크" xfId="1731" builtinId="8" hidden="1"/>
    <cellStyle name="하이퍼링크" xfId="1733" builtinId="8" hidden="1"/>
    <cellStyle name="하이퍼링크" xfId="1735" builtinId="8" hidden="1"/>
    <cellStyle name="하이퍼링크" xfId="1737" builtinId="8" hidden="1"/>
    <cellStyle name="하이퍼링크" xfId="1739" builtinId="8" hidden="1"/>
    <cellStyle name="하이퍼링크" xfId="1741" builtinId="8" hidden="1"/>
    <cellStyle name="하이퍼링크" xfId="1743" builtinId="8" hidden="1"/>
    <cellStyle name="하이퍼링크" xfId="1745" builtinId="8" hidden="1"/>
    <cellStyle name="하이퍼링크" xfId="1747" builtinId="8" hidden="1"/>
    <cellStyle name="하이퍼링크" xfId="1749" builtinId="8" hidden="1"/>
    <cellStyle name="하이퍼링크" xfId="1751" builtinId="8" hidden="1"/>
    <cellStyle name="하이퍼링크" xfId="1753" builtinId="8" hidden="1"/>
    <cellStyle name="하이퍼링크" xfId="1755" builtinId="8" hidden="1"/>
    <cellStyle name="하이퍼링크" xfId="1757" builtinId="8" hidden="1"/>
    <cellStyle name="하이퍼링크" xfId="1759" builtinId="8" hidden="1"/>
    <cellStyle name="하이퍼링크" xfId="1761" builtinId="8" hidden="1"/>
    <cellStyle name="하이퍼링크" xfId="1763" builtinId="8" hidden="1"/>
    <cellStyle name="하이퍼링크" xfId="1765" builtinId="8" hidden="1"/>
    <cellStyle name="하이퍼링크" xfId="1767" builtinId="8" hidden="1"/>
    <cellStyle name="하이퍼링크" xfId="1769" builtinId="8" hidden="1"/>
    <cellStyle name="하이퍼링크" xfId="1771" builtinId="8" hidden="1"/>
    <cellStyle name="하이퍼링크" xfId="1773" builtinId="8" hidden="1"/>
    <cellStyle name="하이퍼링크" xfId="1775" builtinId="8" hidden="1"/>
    <cellStyle name="하이퍼링크" xfId="1777" builtinId="8" hidden="1"/>
    <cellStyle name="하이퍼링크" xfId="1779" builtinId="8" hidden="1"/>
    <cellStyle name="하이퍼링크" xfId="1781" builtinId="8" hidden="1"/>
    <cellStyle name="하이퍼링크" xfId="1783" builtinId="8" hidden="1"/>
    <cellStyle name="하이퍼링크" xfId="1785" builtinId="8" hidden="1"/>
    <cellStyle name="하이퍼링크" xfId="1787" builtinId="8" hidden="1"/>
    <cellStyle name="하이퍼링크" xfId="1789" builtinId="8" hidden="1"/>
    <cellStyle name="하이퍼링크" xfId="1791" builtinId="8" hidden="1"/>
    <cellStyle name="하이퍼링크" xfId="1793" builtinId="8" hidden="1"/>
    <cellStyle name="하이퍼링크" xfId="1795" builtinId="8" hidden="1"/>
    <cellStyle name="하이퍼링크" xfId="1797" builtinId="8" hidden="1"/>
    <cellStyle name="하이퍼링크" xfId="1799" builtinId="8" hidden="1"/>
    <cellStyle name="하이퍼링크" xfId="1801" builtinId="8" hidden="1"/>
    <cellStyle name="하이퍼링크" xfId="1803" builtinId="8" hidden="1"/>
    <cellStyle name="하이퍼링크" xfId="1805" builtinId="8" hidden="1"/>
    <cellStyle name="하이퍼링크" xfId="1807" builtinId="8" hidden="1"/>
    <cellStyle name="하이퍼링크" xfId="1809" builtinId="8" hidden="1"/>
    <cellStyle name="하이퍼링크" xfId="1811" builtinId="8" hidden="1"/>
    <cellStyle name="하이퍼링크" xfId="1813" builtinId="8" hidden="1"/>
    <cellStyle name="하이퍼링크" xfId="1815" builtinId="8" hidden="1"/>
    <cellStyle name="하이퍼링크" xfId="1817" builtinId="8" hidden="1"/>
    <cellStyle name="하이퍼링크" xfId="1819" builtinId="8" hidden="1"/>
    <cellStyle name="하이퍼링크" xfId="1821" builtinId="8" hidden="1"/>
    <cellStyle name="하이퍼링크" xfId="1823" builtinId="8" hidden="1"/>
    <cellStyle name="하이퍼링크" xfId="1825" builtinId="8" hidden="1"/>
    <cellStyle name="하이퍼링크" xfId="1827" builtinId="8" hidden="1"/>
    <cellStyle name="하이퍼링크" xfId="1829" builtinId="8" hidden="1"/>
    <cellStyle name="하이퍼링크" xfId="1831" builtinId="8" hidden="1"/>
    <cellStyle name="하이퍼링크" xfId="1833" builtinId="8" hidden="1"/>
    <cellStyle name="하이퍼링크" xfId="1835" builtinId="8" hidden="1"/>
    <cellStyle name="하이퍼링크" xfId="1837" builtinId="8" hidden="1"/>
    <cellStyle name="하이퍼링크" xfId="1839" builtinId="8" hidden="1"/>
    <cellStyle name="하이퍼링크" xfId="1841" builtinId="8" hidden="1"/>
    <cellStyle name="하이퍼링크" xfId="1843" builtinId="8" hidden="1"/>
    <cellStyle name="하이퍼링크" xfId="1845" builtinId="8" hidden="1"/>
    <cellStyle name="하이퍼링크" xfId="1847" builtinId="8" hidden="1"/>
    <cellStyle name="하이퍼링크" xfId="1849" builtinId="8" hidden="1"/>
    <cellStyle name="하이퍼링크" xfId="1851" builtinId="8" hidden="1"/>
    <cellStyle name="하이퍼링크" xfId="1853" builtinId="8" hidden="1"/>
    <cellStyle name="하이퍼링크" xfId="1855" builtinId="8" hidden="1"/>
    <cellStyle name="하이퍼링크" xfId="1857" builtinId="8" hidden="1"/>
    <cellStyle name="하이퍼링크" xfId="1859" builtinId="8" hidden="1"/>
    <cellStyle name="하이퍼링크" xfId="1861" builtinId="8" hidden="1"/>
    <cellStyle name="하이퍼링크" xfId="1863" builtinId="8" hidden="1"/>
    <cellStyle name="하이퍼링크" xfId="1865" builtinId="8" hidden="1"/>
    <cellStyle name="하이퍼링크" xfId="1867" builtinId="8" hidden="1"/>
    <cellStyle name="하이퍼링크" xfId="1869" builtinId="8" hidden="1"/>
    <cellStyle name="하이퍼링크" xfId="1871" builtinId="8" hidden="1"/>
    <cellStyle name="하이퍼링크" xfId="1873" builtinId="8" hidden="1"/>
    <cellStyle name="하이퍼링크" xfId="1875" builtinId="8" hidden="1"/>
    <cellStyle name="하이퍼링크" xfId="1877" builtinId="8" hidden="1"/>
    <cellStyle name="하이퍼링크" xfId="1879" builtinId="8" hidden="1"/>
    <cellStyle name="하이퍼링크" xfId="1881" builtinId="8" hidden="1"/>
    <cellStyle name="하이퍼링크" xfId="1883" builtinId="8" hidden="1"/>
    <cellStyle name="하이퍼링크" xfId="1885" builtinId="8" hidden="1"/>
    <cellStyle name="하이퍼링크" xfId="1887" builtinId="8" hidden="1"/>
    <cellStyle name="하이퍼링크" xfId="1889" builtinId="8" hidden="1"/>
    <cellStyle name="하이퍼링크" xfId="1891" builtinId="8" hidden="1"/>
    <cellStyle name="하이퍼링크" xfId="1893" builtinId="8" hidden="1"/>
    <cellStyle name="하이퍼링크" xfId="1895" builtinId="8" hidden="1"/>
    <cellStyle name="하이퍼링크" xfId="1897" builtinId="8" hidden="1"/>
    <cellStyle name="하이퍼링크" xfId="1899" builtinId="8" hidden="1"/>
    <cellStyle name="하이퍼링크" xfId="1901" builtinId="8" hidden="1"/>
    <cellStyle name="하이퍼링크" xfId="1903" builtinId="8" hidden="1"/>
    <cellStyle name="하이퍼링크" xfId="1905" builtinId="8" hidden="1"/>
    <cellStyle name="하이퍼링크" xfId="1907" builtinId="8" hidden="1"/>
    <cellStyle name="하이퍼링크" xfId="1909" builtinId="8" hidden="1"/>
    <cellStyle name="하이퍼링크" xfId="1911" builtinId="8" hidden="1"/>
    <cellStyle name="하이퍼링크" xfId="1913" builtinId="8" hidden="1"/>
    <cellStyle name="하이퍼링크" xfId="1915" builtinId="8" hidden="1"/>
    <cellStyle name="하이퍼링크" xfId="1917" builtinId="8" hidden="1"/>
    <cellStyle name="하이퍼링크" xfId="1919" builtinId="8" hidden="1"/>
    <cellStyle name="하이퍼링크" xfId="1921" builtinId="8" hidden="1"/>
    <cellStyle name="하이퍼링크" xfId="1923" builtinId="8" hidden="1"/>
    <cellStyle name="하이퍼링크" xfId="1925" builtinId="8" hidden="1"/>
    <cellStyle name="하이퍼링크" xfId="1927" builtinId="8" hidden="1"/>
    <cellStyle name="하이퍼링크" xfId="1929" builtinId="8" hidden="1"/>
    <cellStyle name="하이퍼링크" xfId="1931" builtinId="8" hidden="1"/>
    <cellStyle name="하이퍼링크" xfId="1933" builtinId="8" hidden="1"/>
    <cellStyle name="하이퍼링크" xfId="1935" builtinId="8" hidden="1"/>
    <cellStyle name="하이퍼링크" xfId="1937" builtinId="8" hidden="1"/>
    <cellStyle name="하이퍼링크" xfId="1939" builtinId="8" hidden="1"/>
    <cellStyle name="하이퍼링크" xfId="1941" builtinId="8" hidden="1"/>
    <cellStyle name="하이퍼링크" xfId="1943" builtinId="8" hidden="1"/>
    <cellStyle name="하이퍼링크" xfId="1945" builtinId="8" hidden="1"/>
    <cellStyle name="하이퍼링크" xfId="1947" builtinId="8" hidden="1"/>
    <cellStyle name="하이퍼링크" xfId="1949" builtinId="8" hidden="1"/>
    <cellStyle name="하이퍼링크" xfId="1951" builtinId="8" hidden="1"/>
    <cellStyle name="하이퍼링크" xfId="1953" builtinId="8" hidden="1"/>
    <cellStyle name="하이퍼링크" xfId="1955" builtinId="8" hidden="1"/>
    <cellStyle name="하이퍼링크" xfId="1957" builtinId="8" hidden="1"/>
    <cellStyle name="하이퍼링크" xfId="1959" builtinId="8" hidden="1"/>
    <cellStyle name="하이퍼링크" xfId="1961" builtinId="8" hidden="1"/>
    <cellStyle name="하이퍼링크" xfId="1963" builtinId="8" hidden="1"/>
    <cellStyle name="하이퍼링크" xfId="1965" builtinId="8" hidden="1"/>
    <cellStyle name="하이퍼링크" xfId="1967" builtinId="8" hidden="1"/>
    <cellStyle name="하이퍼링크" xfId="1969" builtinId="8" hidden="1"/>
    <cellStyle name="하이퍼링크" xfId="1971" builtinId="8" hidden="1"/>
    <cellStyle name="하이퍼링크" xfId="1973" builtinId="8" hidden="1"/>
    <cellStyle name="하이퍼링크" xfId="1975" builtinId="8" hidden="1"/>
    <cellStyle name="하이퍼링크" xfId="1977" builtinId="8" hidden="1"/>
    <cellStyle name="하이퍼링크" xfId="1979" builtinId="8" hidden="1"/>
    <cellStyle name="하이퍼링크" xfId="1981" builtinId="8" hidden="1"/>
    <cellStyle name="하이퍼링크" xfId="1983" builtinId="8" hidden="1"/>
    <cellStyle name="하이퍼링크" xfId="1985" builtinId="8" hidden="1"/>
    <cellStyle name="하이퍼링크" xfId="1987" builtinId="8" hidden="1"/>
    <cellStyle name="하이퍼링크" xfId="1989" builtinId="8" hidden="1"/>
    <cellStyle name="하이퍼링크" xfId="1991" builtinId="8" hidden="1"/>
    <cellStyle name="하이퍼링크" xfId="1993" builtinId="8" hidden="1"/>
    <cellStyle name="하이퍼링크" xfId="1995" builtinId="8" hidden="1"/>
    <cellStyle name="하이퍼링크" xfId="1997" builtinId="8" hidden="1"/>
    <cellStyle name="하이퍼링크" xfId="1999" builtinId="8" hidden="1"/>
    <cellStyle name="하이퍼링크" xfId="2001" builtinId="8" hidden="1"/>
    <cellStyle name="하이퍼링크" xfId="2003" builtinId="8" hidden="1"/>
    <cellStyle name="하이퍼링크" xfId="2005" builtinId="8" hidden="1"/>
    <cellStyle name="하이퍼링크" xfId="2007" builtinId="8" hidden="1"/>
    <cellStyle name="하이퍼링크" xfId="2009" builtinId="8" hidden="1"/>
    <cellStyle name="하이퍼링크" xfId="2011" builtinId="8" hidden="1"/>
    <cellStyle name="하이퍼링크" xfId="2013" builtinId="8" hidden="1"/>
    <cellStyle name="하이퍼링크" xfId="2015" builtinId="8" hidden="1"/>
    <cellStyle name="하이퍼링크" xfId="2017" builtinId="8" hidden="1"/>
    <cellStyle name="하이퍼링크" xfId="2019" builtinId="8" hidden="1"/>
    <cellStyle name="하이퍼링크" xfId="2021" builtinId="8" hidden="1"/>
    <cellStyle name="하이퍼링크" xfId="2023" builtinId="8" hidden="1"/>
    <cellStyle name="하이퍼링크" xfId="2025" builtinId="8" hidden="1"/>
    <cellStyle name="하이퍼링크" xfId="2027" builtinId="8" hidden="1"/>
    <cellStyle name="하이퍼링크" xfId="2029" builtinId="8" hidden="1"/>
    <cellStyle name="하이퍼링크" xfId="2031" builtinId="8" hidden="1"/>
    <cellStyle name="하이퍼링크" xfId="2033" builtinId="8" hidden="1"/>
    <cellStyle name="하이퍼링크" xfId="2035" builtinId="8" hidden="1"/>
    <cellStyle name="하이퍼링크" xfId="2037" builtinId="8" hidden="1"/>
    <cellStyle name="하이퍼링크" xfId="2039" builtinId="8" hidden="1"/>
    <cellStyle name="하이퍼링크" xfId="2041" builtinId="8" hidden="1"/>
    <cellStyle name="하이퍼링크" xfId="2043" builtinId="8" hidden="1"/>
    <cellStyle name="하이퍼링크" xfId="2045" builtinId="8" hidden="1"/>
    <cellStyle name="하이퍼링크" xfId="2047" builtinId="8" hidden="1"/>
    <cellStyle name="하이퍼링크" xfId="2049" builtinId="8" hidden="1"/>
    <cellStyle name="하이퍼링크" xfId="2051" builtinId="8" hidden="1"/>
    <cellStyle name="하이퍼링크" xfId="2053" builtinId="8" hidden="1"/>
    <cellStyle name="하이퍼링크" xfId="2055" builtinId="8" hidden="1"/>
    <cellStyle name="하이퍼링크" xfId="2057" builtinId="8" hidden="1"/>
    <cellStyle name="하이퍼링크" xfId="2059" builtinId="8" hidden="1"/>
    <cellStyle name="하이퍼링크" xfId="2061" builtinId="8" hidden="1"/>
    <cellStyle name="하이퍼링크" xfId="2063" builtinId="8" hidden="1"/>
    <cellStyle name="하이퍼링크" xfId="2065" builtinId="8" hidden="1"/>
    <cellStyle name="하이퍼링크" xfId="2067" builtinId="8" hidden="1"/>
    <cellStyle name="하이퍼링크" xfId="2069" builtinId="8" hidden="1"/>
    <cellStyle name="하이퍼링크" xfId="2071" builtinId="8" hidden="1"/>
    <cellStyle name="하이퍼링크" xfId="2073" builtinId="8" hidden="1"/>
    <cellStyle name="하이퍼링크" xfId="2075" builtinId="8" hidden="1"/>
    <cellStyle name="하이퍼링크" xfId="2077" builtinId="8" hidden="1"/>
    <cellStyle name="하이퍼링크" xfId="2079" builtinId="8" hidden="1"/>
    <cellStyle name="하이퍼링크" xfId="2081" builtinId="8" hidden="1"/>
    <cellStyle name="하이퍼링크" xfId="2083" builtinId="8" hidden="1"/>
    <cellStyle name="하이퍼링크" xfId="2085" builtinId="8" hidden="1"/>
    <cellStyle name="하이퍼링크" xfId="2087" builtinId="8" hidden="1"/>
    <cellStyle name="하이퍼링크" xfId="2089" builtinId="8" hidden="1"/>
    <cellStyle name="하이퍼링크" xfId="2091" builtinId="8" hidden="1"/>
    <cellStyle name="하이퍼링크" xfId="2093" builtinId="8" hidden="1"/>
    <cellStyle name="하이퍼링크" xfId="2095" builtinId="8" hidden="1"/>
    <cellStyle name="하이퍼링크" xfId="2097" builtinId="8" hidden="1"/>
    <cellStyle name="하이퍼링크" xfId="2099" builtinId="8" hidden="1"/>
    <cellStyle name="하이퍼링크" xfId="2101" builtinId="8" hidden="1"/>
    <cellStyle name="하이퍼링크" xfId="2103" builtinId="8" hidden="1"/>
    <cellStyle name="하이퍼링크" xfId="2105" builtinId="8" hidden="1"/>
    <cellStyle name="하이퍼링크" xfId="2107" builtinId="8" hidden="1"/>
    <cellStyle name="하이퍼링크" xfId="2109" builtinId="8" hidden="1"/>
    <cellStyle name="하이퍼링크" xfId="2111" builtinId="8" hidden="1"/>
    <cellStyle name="하이퍼링크" xfId="2113" builtinId="8" hidden="1"/>
    <cellStyle name="하이퍼링크" xfId="2115" builtinId="8" hidden="1"/>
    <cellStyle name="하이퍼링크" xfId="2117" builtinId="8" hidden="1"/>
    <cellStyle name="하이퍼링크" xfId="2119" builtinId="8" hidden="1"/>
    <cellStyle name="하이퍼링크" xfId="2121" builtinId="8" hidden="1"/>
    <cellStyle name="하이퍼링크" xfId="2123" builtinId="8" hidden="1"/>
    <cellStyle name="하이퍼링크" xfId="2125" builtinId="8" hidden="1"/>
    <cellStyle name="하이퍼링크" xfId="2127" builtinId="8" hidden="1"/>
    <cellStyle name="하이퍼링크" xfId="2129" builtinId="8" hidden="1"/>
    <cellStyle name="하이퍼링크" xfId="2131" builtinId="8" hidden="1"/>
    <cellStyle name="하이퍼링크" xfId="2133" builtinId="8" hidden="1"/>
    <cellStyle name="하이퍼링크" xfId="2135" builtinId="8" hidden="1"/>
    <cellStyle name="하이퍼링크" xfId="2137" builtinId="8" hidden="1"/>
    <cellStyle name="하이퍼링크" xfId="2139" builtinId="8" hidden="1"/>
    <cellStyle name="하이퍼링크" xfId="2141" builtinId="8" hidden="1"/>
    <cellStyle name="하이퍼링크" xfId="2143" builtinId="8" hidden="1"/>
    <cellStyle name="하이퍼링크" xfId="2145" builtinId="8" hidden="1"/>
    <cellStyle name="하이퍼링크" xfId="2147" builtinId="8" hidden="1"/>
    <cellStyle name="하이퍼링크" xfId="2149" builtinId="8" hidden="1"/>
    <cellStyle name="하이퍼링크" xfId="2151" builtinId="8" hidden="1"/>
    <cellStyle name="하이퍼링크" xfId="2153" builtinId="8" hidden="1"/>
    <cellStyle name="하이퍼링크" xfId="2155" builtinId="8" hidden="1"/>
    <cellStyle name="하이퍼링크" xfId="2157" builtinId="8" hidden="1"/>
    <cellStyle name="하이퍼링크" xfId="2159" builtinId="8" hidden="1"/>
    <cellStyle name="하이퍼링크" xfId="2161" builtinId="8" hidden="1"/>
    <cellStyle name="하이퍼링크" xfId="2163" builtinId="8" hidden="1"/>
    <cellStyle name="하이퍼링크" xfId="2165" builtinId="8" hidden="1"/>
    <cellStyle name="하이퍼링크" xfId="2167" builtinId="8" hidden="1"/>
    <cellStyle name="하이퍼링크" xfId="2169" builtinId="8" hidden="1"/>
    <cellStyle name="하이퍼링크" xfId="2171" builtinId="8" hidden="1"/>
    <cellStyle name="하이퍼링크" xfId="2173" builtinId="8" hidden="1"/>
    <cellStyle name="하이퍼링크" xfId="2175" builtinId="8" hidden="1"/>
    <cellStyle name="하이퍼링크" xfId="2177" builtinId="8" hidden="1"/>
    <cellStyle name="하이퍼링크" xfId="2179" builtinId="8" hidden="1"/>
    <cellStyle name="하이퍼링크" xfId="2181" builtinId="8" hidden="1"/>
    <cellStyle name="하이퍼링크" xfId="2183" builtinId="8" hidden="1"/>
    <cellStyle name="하이퍼링크" xfId="2185" builtinId="8" hidden="1"/>
    <cellStyle name="하이퍼링크" xfId="2187" builtinId="8" hidden="1"/>
    <cellStyle name="하이퍼링크" xfId="2189" builtinId="8" hidden="1"/>
    <cellStyle name="하이퍼링크" xfId="2191" builtinId="8" hidden="1"/>
    <cellStyle name="하이퍼링크" xfId="2193" builtinId="8" hidden="1"/>
    <cellStyle name="하이퍼링크" xfId="2195" builtinId="8" hidden="1"/>
    <cellStyle name="하이퍼링크" xfId="2197" builtinId="8" hidden="1"/>
    <cellStyle name="하이퍼링크" xfId="2199" builtinId="8" hidden="1"/>
    <cellStyle name="하이퍼링크" xfId="2201" builtinId="8" hidden="1"/>
    <cellStyle name="하이퍼링크" xfId="2203" builtinId="8" hidden="1"/>
    <cellStyle name="하이퍼링크" xfId="2205" builtinId="8" hidden="1"/>
    <cellStyle name="하이퍼링크" xfId="2207" builtinId="8" hidden="1"/>
    <cellStyle name="하이퍼링크" xfId="2209" builtinId="8" hidden="1"/>
    <cellStyle name="하이퍼링크" xfId="2211" builtinId="8" hidden="1"/>
    <cellStyle name="하이퍼링크" xfId="2213" builtinId="8" hidden="1"/>
    <cellStyle name="하이퍼링크" xfId="2215" builtinId="8" hidden="1"/>
    <cellStyle name="하이퍼링크" xfId="2217" builtinId="8" hidden="1"/>
    <cellStyle name="하이퍼링크" xfId="2219" builtinId="8" hidden="1"/>
    <cellStyle name="하이퍼링크" xfId="2221" builtinId="8" hidden="1"/>
    <cellStyle name="하이퍼링크" xfId="2223" builtinId="8" hidden="1"/>
    <cellStyle name="하이퍼링크" xfId="2225" builtinId="8" hidden="1"/>
    <cellStyle name="하이퍼링크" xfId="2227" builtinId="8" hidden="1"/>
    <cellStyle name="하이퍼링크" xfId="2229" builtinId="8" hidden="1"/>
    <cellStyle name="하이퍼링크" xfId="2231" builtinId="8" hidden="1"/>
    <cellStyle name="하이퍼링크" xfId="2233" builtinId="8" hidden="1"/>
    <cellStyle name="하이퍼링크" xfId="2235" builtinId="8" hidden="1"/>
    <cellStyle name="하이퍼링크" xfId="2237" builtinId="8" hidden="1"/>
    <cellStyle name="하이퍼링크" xfId="2239" builtinId="8" hidden="1"/>
    <cellStyle name="하이퍼링크" xfId="2241" builtinId="8" hidden="1"/>
    <cellStyle name="하이퍼링크" xfId="2243" builtinId="8" hidden="1"/>
    <cellStyle name="하이퍼링크" xfId="2245" builtinId="8" hidden="1"/>
    <cellStyle name="하이퍼링크" xfId="2247" builtinId="8" hidden="1"/>
    <cellStyle name="하이퍼링크" xfId="2249" builtinId="8" hidden="1"/>
    <cellStyle name="하이퍼링크" xfId="2251" builtinId="8" hidden="1"/>
    <cellStyle name="하이퍼링크" xfId="2253" builtinId="8" hidden="1"/>
    <cellStyle name="하이퍼링크" xfId="2255" builtinId="8" hidden="1"/>
    <cellStyle name="하이퍼링크" xfId="2257" builtinId="8" hidden="1"/>
    <cellStyle name="하이퍼링크" xfId="2259" builtinId="8" hidden="1"/>
    <cellStyle name="하이퍼링크" xfId="2261" builtinId="8" hidden="1"/>
    <cellStyle name="하이퍼링크" xfId="2263" builtinId="8" hidden="1"/>
    <cellStyle name="하이퍼링크" xfId="2265" builtinId="8" hidden="1"/>
    <cellStyle name="하이퍼링크" xfId="2267" builtinId="8" hidden="1"/>
    <cellStyle name="하이퍼링크" xfId="2269" builtinId="8" hidden="1"/>
    <cellStyle name="하이퍼링크" xfId="2271" builtinId="8" hidden="1"/>
    <cellStyle name="하이퍼링크" xfId="2273" builtinId="8" hidden="1"/>
    <cellStyle name="하이퍼링크" xfId="2275" builtinId="8" hidden="1"/>
    <cellStyle name="하이퍼링크" xfId="2277" builtinId="8" hidden="1"/>
    <cellStyle name="하이퍼링크" xfId="2279" builtinId="8" hidden="1"/>
    <cellStyle name="하이퍼링크" xfId="2281" builtinId="8" hidden="1"/>
    <cellStyle name="하이퍼링크" xfId="2283" builtinId="8" hidden="1"/>
    <cellStyle name="하이퍼링크" xfId="2285" builtinId="8" hidden="1"/>
    <cellStyle name="하이퍼링크" xfId="2287" builtinId="8" hidden="1"/>
    <cellStyle name="하이퍼링크" xfId="2289" builtinId="8" hidden="1"/>
    <cellStyle name="하이퍼링크" xfId="2291" builtinId="8" hidden="1"/>
    <cellStyle name="하이퍼링크" xfId="2293" builtinId="8" hidden="1"/>
    <cellStyle name="하이퍼링크" xfId="2295" builtinId="8" hidden="1"/>
    <cellStyle name="하이퍼링크" xfId="2297" builtinId="8" hidden="1"/>
    <cellStyle name="하이퍼링크" xfId="2299" builtinId="8" hidden="1"/>
    <cellStyle name="하이퍼링크" xfId="2301" builtinId="8" hidden="1"/>
    <cellStyle name="하이퍼링크" xfId="2303" builtinId="8" hidden="1"/>
    <cellStyle name="하이퍼링크" xfId="2305" builtinId="8" hidden="1"/>
    <cellStyle name="하이퍼링크" xfId="2307" builtinId="8" hidden="1"/>
    <cellStyle name="하이퍼링크" xfId="2309" builtinId="8" hidden="1"/>
    <cellStyle name="하이퍼링크" xfId="2311" builtinId="8" hidden="1"/>
    <cellStyle name="하이퍼링크" xfId="2313" builtinId="8" hidden="1"/>
    <cellStyle name="하이퍼링크" xfId="2315" builtinId="8" hidden="1"/>
    <cellStyle name="하이퍼링크" xfId="2317" builtinId="8" hidden="1"/>
    <cellStyle name="하이퍼링크" xfId="2319" builtinId="8" hidden="1"/>
    <cellStyle name="하이퍼링크" xfId="2321" builtinId="8" hidden="1"/>
    <cellStyle name="하이퍼링크" xfId="2323" builtinId="8" hidden="1"/>
    <cellStyle name="하이퍼링크" xfId="2325" builtinId="8" hidden="1"/>
    <cellStyle name="하이퍼링크" xfId="2327" builtinId="8" hidden="1"/>
    <cellStyle name="하이퍼링크" xfId="2329" builtinId="8" hidden="1"/>
    <cellStyle name="하이퍼링크" xfId="2331" builtinId="8" hidden="1"/>
    <cellStyle name="하이퍼링크" xfId="2333" builtinId="8" hidden="1"/>
    <cellStyle name="하이퍼링크" xfId="2335" builtinId="8" hidden="1"/>
    <cellStyle name="하이퍼링크" xfId="2337" builtinId="8" hidden="1"/>
    <cellStyle name="하이퍼링크" xfId="2339" builtinId="8" hidden="1"/>
    <cellStyle name="하이퍼링크" xfId="2341" builtinId="8" hidden="1"/>
    <cellStyle name="하이퍼링크" xfId="2343" builtinId="8" hidden="1"/>
    <cellStyle name="하이퍼링크" xfId="2345" builtinId="8" hidden="1"/>
    <cellStyle name="하이퍼링크" xfId="2347" builtinId="8" hidden="1"/>
    <cellStyle name="하이퍼링크" xfId="2349" builtinId="8" hidden="1"/>
    <cellStyle name="하이퍼링크" xfId="2351" builtinId="8" hidden="1"/>
    <cellStyle name="하이퍼링크" xfId="2353" builtinId="8" hidden="1"/>
    <cellStyle name="하이퍼링크" xfId="2355" builtinId="8" hidden="1"/>
    <cellStyle name="하이퍼링크" xfId="2357" builtinId="8" hidden="1"/>
    <cellStyle name="하이퍼링크" xfId="2359" builtinId="8" hidden="1"/>
    <cellStyle name="하이퍼링크" xfId="2361" builtinId="8" hidden="1"/>
    <cellStyle name="하이퍼링크" xfId="2363" builtinId="8" hidden="1"/>
    <cellStyle name="하이퍼링크" xfId="2365" builtinId="8" hidden="1"/>
    <cellStyle name="하이퍼링크" xfId="2367" builtinId="8" hidden="1"/>
    <cellStyle name="하이퍼링크" xfId="2369" builtinId="8" hidden="1"/>
    <cellStyle name="하이퍼링크" xfId="2371" builtinId="8" hidden="1"/>
    <cellStyle name="하이퍼링크" xfId="2373" builtinId="8" hidden="1"/>
    <cellStyle name="하이퍼링크" xfId="2375" builtinId="8" hidden="1"/>
    <cellStyle name="하이퍼링크" xfId="2377" builtinId="8" hidden="1"/>
    <cellStyle name="하이퍼링크" xfId="2379" builtinId="8" hidden="1"/>
    <cellStyle name="하이퍼링크" xfId="2381" builtinId="8" hidden="1"/>
    <cellStyle name="하이퍼링크" xfId="2383" builtinId="8" hidden="1"/>
    <cellStyle name="하이퍼링크" xfId="2385" builtinId="8" hidden="1"/>
    <cellStyle name="하이퍼링크" xfId="2387" builtinId="8" hidden="1"/>
    <cellStyle name="하이퍼링크" xfId="2389" builtinId="8" hidden="1"/>
    <cellStyle name="하이퍼링크" xfId="2391" builtinId="8" hidden="1"/>
    <cellStyle name="하이퍼링크" xfId="2393" builtinId="8" hidden="1"/>
    <cellStyle name="하이퍼링크" xfId="2395" builtinId="8" hidden="1"/>
    <cellStyle name="하이퍼링크" xfId="2397" builtinId="8" hidden="1"/>
    <cellStyle name="하이퍼링크" xfId="2399" builtinId="8" hidden="1"/>
    <cellStyle name="하이퍼링크" xfId="2401" builtinId="8" hidden="1"/>
    <cellStyle name="하이퍼링크" xfId="2403" builtinId="8" hidden="1"/>
    <cellStyle name="하이퍼링크" xfId="2405" builtinId="8" hidden="1"/>
    <cellStyle name="하이퍼링크" xfId="2407" builtinId="8" hidden="1"/>
    <cellStyle name="하이퍼링크" xfId="2409" builtinId="8" hidden="1"/>
    <cellStyle name="하이퍼링크" xfId="2411" builtinId="8" hidden="1"/>
    <cellStyle name="하이퍼링크" xfId="2413" builtinId="8" hidden="1"/>
    <cellStyle name="하이퍼링크" xfId="2415" builtinId="8" hidden="1"/>
    <cellStyle name="하이퍼링크" xfId="2417" builtinId="8" hidden="1"/>
    <cellStyle name="하이퍼링크" xfId="2419" builtinId="8" hidden="1"/>
    <cellStyle name="하이퍼링크" xfId="2421" builtinId="8" hidden="1"/>
    <cellStyle name="하이퍼링크" xfId="2423" builtinId="8" hidden="1"/>
    <cellStyle name="하이퍼링크" xfId="2425" builtinId="8" hidden="1"/>
    <cellStyle name="하이퍼링크" xfId="2427" builtinId="8" hidden="1"/>
    <cellStyle name="하이퍼링크" xfId="2429" builtinId="8" hidden="1"/>
    <cellStyle name="하이퍼링크" xfId="2431" builtinId="8" hidden="1"/>
    <cellStyle name="하이퍼링크" xfId="2433" builtinId="8" hidden="1"/>
    <cellStyle name="하이퍼링크" xfId="2435" builtinId="8" hidden="1"/>
    <cellStyle name="하이퍼링크" xfId="2437" builtinId="8" hidden="1"/>
    <cellStyle name="하이퍼링크" xfId="2439" builtinId="8" hidden="1"/>
    <cellStyle name="하이퍼링크" xfId="2441" builtinId="8" hidden="1"/>
    <cellStyle name="하이퍼링크" xfId="2443" builtinId="8" hidden="1"/>
    <cellStyle name="하이퍼링크" xfId="2445" builtinId="8" hidden="1"/>
    <cellStyle name="하이퍼링크" xfId="2447" builtinId="8" hidden="1"/>
    <cellStyle name="하이퍼링크" xfId="2449" builtinId="8" hidden="1"/>
    <cellStyle name="하이퍼링크" xfId="2451" builtinId="8" hidden="1"/>
    <cellStyle name="하이퍼링크" xfId="2453" builtinId="8" hidden="1"/>
    <cellStyle name="하이퍼링크" xfId="2455" builtinId="8" hidden="1"/>
    <cellStyle name="하이퍼링크" xfId="2457" builtinId="8" hidden="1"/>
    <cellStyle name="하이퍼링크" xfId="2459" builtinId="8" hidden="1"/>
    <cellStyle name="하이퍼링크" xfId="2461" builtinId="8" hidden="1"/>
    <cellStyle name="하이퍼링크" xfId="2463" builtinId="8" hidden="1"/>
    <cellStyle name="하이퍼링크" xfId="2465" builtinId="8" hidden="1"/>
    <cellStyle name="하이퍼링크" xfId="2467" builtinId="8" hidden="1"/>
    <cellStyle name="하이퍼링크" xfId="2469" builtinId="8" hidden="1"/>
    <cellStyle name="하이퍼링크" xfId="2471" builtinId="8" hidden="1"/>
    <cellStyle name="하이퍼링크" xfId="2473" builtinId="8" hidden="1"/>
    <cellStyle name="하이퍼링크" xfId="2475" builtinId="8" hidden="1"/>
    <cellStyle name="하이퍼링크" xfId="2477" builtinId="8" hidden="1"/>
    <cellStyle name="하이퍼링크" xfId="2479" builtinId="8" hidden="1"/>
    <cellStyle name="하이퍼링크" xfId="2481" builtinId="8" hidden="1"/>
    <cellStyle name="하이퍼링크" xfId="2483" builtinId="8" hidden="1"/>
    <cellStyle name="하이퍼링크" xfId="2485" builtinId="8" hidden="1"/>
    <cellStyle name="하이퍼링크" xfId="2487" builtinId="8" hidden="1"/>
    <cellStyle name="하이퍼링크" xfId="2489" builtinId="8" hidden="1"/>
    <cellStyle name="하이퍼링크" xfId="2491" builtinId="8" hidden="1"/>
    <cellStyle name="하이퍼링크" xfId="2493" builtinId="8" hidden="1"/>
    <cellStyle name="하이퍼링크" xfId="2495" builtinId="8" hidden="1"/>
    <cellStyle name="하이퍼링크" xfId="2497" builtinId="8" hidden="1"/>
    <cellStyle name="하이퍼링크" xfId="2499" builtinId="8" hidden="1"/>
    <cellStyle name="하이퍼링크" xfId="2501" builtinId="8" hidden="1"/>
    <cellStyle name="하이퍼링크" xfId="2503" builtinId="8" hidden="1"/>
    <cellStyle name="하이퍼링크" xfId="2505" builtinId="8" hidden="1"/>
    <cellStyle name="하이퍼링크" xfId="2507" builtinId="8" hidden="1"/>
    <cellStyle name="하이퍼링크" xfId="2509" builtinId="8" hidden="1"/>
    <cellStyle name="하이퍼링크" xfId="2511" builtinId="8" hidden="1"/>
    <cellStyle name="하이퍼링크" xfId="2513" builtinId="8" hidden="1"/>
    <cellStyle name="하이퍼링크" xfId="2515" builtinId="8" hidden="1"/>
    <cellStyle name="하이퍼링크" xfId="2517" builtinId="8" hidden="1"/>
    <cellStyle name="하이퍼링크" xfId="2519" builtinId="8" hidden="1"/>
    <cellStyle name="하이퍼링크" xfId="2521" builtinId="8" hidden="1"/>
    <cellStyle name="하이퍼링크" xfId="2523" builtinId="8" hidden="1"/>
    <cellStyle name="하이퍼링크" xfId="2525" builtinId="8" hidden="1"/>
    <cellStyle name="하이퍼링크" xfId="2527" builtinId="8" hidden="1"/>
    <cellStyle name="하이퍼링크" xfId="2529" builtinId="8" hidden="1"/>
    <cellStyle name="하이퍼링크" xfId="2531" builtinId="8" hidden="1"/>
    <cellStyle name="하이퍼링크" xfId="2533" builtinId="8" hidden="1"/>
    <cellStyle name="하이퍼링크" xfId="2535" builtinId="8" hidden="1"/>
    <cellStyle name="하이퍼링크" xfId="2537" builtinId="8" hidden="1"/>
    <cellStyle name="하이퍼링크" xfId="2539" builtinId="8" hidden="1"/>
    <cellStyle name="하이퍼링크" xfId="2541" builtinId="8" hidden="1"/>
    <cellStyle name="하이퍼링크" xfId="2543" builtinId="8" hidden="1"/>
    <cellStyle name="하이퍼링크" xfId="2545" builtinId="8" hidden="1"/>
    <cellStyle name="하이퍼링크" xfId="2547" builtinId="8" hidden="1"/>
    <cellStyle name="하이퍼링크" xfId="2549" builtinId="8" hidden="1"/>
    <cellStyle name="하이퍼링크" xfId="2551" builtinId="8" hidden="1"/>
    <cellStyle name="하이퍼링크" xfId="2553" builtinId="8" hidden="1"/>
    <cellStyle name="하이퍼링크" xfId="2555" builtinId="8" hidden="1"/>
    <cellStyle name="하이퍼링크" xfId="2557" builtinId="8" hidden="1"/>
    <cellStyle name="하이퍼링크" xfId="2559" builtinId="8" hidden="1"/>
    <cellStyle name="하이퍼링크" xfId="2561" builtinId="8" hidden="1"/>
    <cellStyle name="하이퍼링크" xfId="2563" builtinId="8" hidden="1"/>
    <cellStyle name="하이퍼링크" xfId="2565" builtinId="8" hidden="1"/>
    <cellStyle name="하이퍼링크" xfId="2567" builtinId="8" hidden="1"/>
    <cellStyle name="하이퍼링크" xfId="2569" builtinId="8" hidden="1"/>
    <cellStyle name="하이퍼링크" xfId="2571" builtinId="8" hidden="1"/>
    <cellStyle name="하이퍼링크" xfId="2573" builtinId="8" hidden="1"/>
    <cellStyle name="하이퍼링크" xfId="2575" builtinId="8" hidden="1"/>
    <cellStyle name="하이퍼링크" xfId="2577" builtinId="8" hidden="1"/>
    <cellStyle name="하이퍼링크" xfId="2579" builtinId="8" hidden="1"/>
    <cellStyle name="하이퍼링크" xfId="2581" builtinId="8" hidden="1"/>
    <cellStyle name="하이퍼링크" xfId="2583" builtinId="8" hidden="1"/>
    <cellStyle name="하이퍼링크" xfId="2585" builtinId="8" hidden="1"/>
    <cellStyle name="하이퍼링크" xfId="2587" builtinId="8" hidden="1"/>
    <cellStyle name="하이퍼링크" xfId="2589" builtinId="8" hidden="1"/>
    <cellStyle name="하이퍼링크" xfId="2591" builtinId="8" hidden="1"/>
    <cellStyle name="하이퍼링크" xfId="2593" builtinId="8" hidden="1"/>
    <cellStyle name="하이퍼링크" xfId="2595" builtinId="8" hidden="1"/>
    <cellStyle name="하이퍼링크" xfId="2597" builtinId="8" hidden="1"/>
    <cellStyle name="하이퍼링크" xfId="2599" builtinId="8" hidden="1"/>
    <cellStyle name="하이퍼링크" xfId="2601" builtinId="8" hidden="1"/>
    <cellStyle name="하이퍼링크" xfId="2603" builtinId="8" hidden="1"/>
    <cellStyle name="하이퍼링크" xfId="2605" builtinId="8" hidden="1"/>
    <cellStyle name="하이퍼링크" xfId="2607" builtinId="8" hidden="1"/>
    <cellStyle name="하이퍼링크" xfId="2609" builtinId="8" hidden="1"/>
    <cellStyle name="하이퍼링크" xfId="2611" builtinId="8" hidden="1"/>
    <cellStyle name="하이퍼링크" xfId="2613" builtinId="8" hidden="1"/>
    <cellStyle name="하이퍼링크" xfId="2615" builtinId="8" hidden="1"/>
    <cellStyle name="하이퍼링크" xfId="2617" builtinId="8" hidden="1"/>
    <cellStyle name="하이퍼링크" xfId="2619" builtinId="8" hidden="1"/>
    <cellStyle name="하이퍼링크" xfId="2621" builtinId="8" hidden="1"/>
    <cellStyle name="하이퍼링크" xfId="2623" builtinId="8" hidden="1"/>
    <cellStyle name="하이퍼링크" xfId="2625" builtinId="8" hidden="1"/>
    <cellStyle name="하이퍼링크" xfId="2627" builtinId="8" hidden="1"/>
    <cellStyle name="하이퍼링크" xfId="2629" builtinId="8" hidden="1"/>
    <cellStyle name="하이퍼링크" xfId="2631" builtinId="8" hidden="1"/>
    <cellStyle name="하이퍼링크" xfId="2633" builtinId="8" hidden="1"/>
    <cellStyle name="하이퍼링크" xfId="2635" builtinId="8" hidden="1"/>
    <cellStyle name="하이퍼링크" xfId="2637" builtinId="8" hidden="1"/>
    <cellStyle name="하이퍼링크" xfId="2639" builtinId="8" hidden="1"/>
    <cellStyle name="하이퍼링크" xfId="2641" builtinId="8" hidden="1"/>
    <cellStyle name="하이퍼링크" xfId="2643" builtinId="8" hidden="1"/>
    <cellStyle name="하이퍼링크" xfId="2645" builtinId="8" hidden="1"/>
    <cellStyle name="하이퍼링크" xfId="2647" builtinId="8" hidden="1"/>
    <cellStyle name="하이퍼링크" xfId="2649" builtinId="8" hidden="1"/>
    <cellStyle name="하이퍼링크" xfId="2651" builtinId="8" hidden="1"/>
    <cellStyle name="하이퍼링크" xfId="2653" builtinId="8" hidden="1"/>
    <cellStyle name="하이퍼링크" xfId="2655" builtinId="8" hidden="1"/>
    <cellStyle name="하이퍼링크" xfId="2657" builtinId="8" hidden="1"/>
    <cellStyle name="하이퍼링크" xfId="2659" builtinId="8" hidden="1"/>
    <cellStyle name="하이퍼링크" xfId="2661" builtinId="8" hidden="1"/>
    <cellStyle name="하이퍼링크" xfId="2663" builtinId="8" hidden="1"/>
    <cellStyle name="하이퍼링크" xfId="2665" builtinId="8" hidden="1"/>
    <cellStyle name="하이퍼링크" xfId="2667" builtinId="8" hidden="1"/>
    <cellStyle name="하이퍼링크" xfId="2669" builtinId="8" hidden="1"/>
    <cellStyle name="하이퍼링크" xfId="2671" builtinId="8" hidden="1"/>
    <cellStyle name="하이퍼링크" xfId="2673" builtinId="8" hidden="1"/>
    <cellStyle name="하이퍼링크" xfId="2675" builtinId="8" hidden="1"/>
    <cellStyle name="하이퍼링크" xfId="2677" builtinId="8" hidden="1"/>
    <cellStyle name="하이퍼링크" xfId="2679" builtinId="8" hidden="1"/>
    <cellStyle name="하이퍼링크" xfId="2681" builtinId="8" hidden="1"/>
    <cellStyle name="하이퍼링크" xfId="2683" builtinId="8" hidden="1"/>
    <cellStyle name="하이퍼링크" xfId="2685" builtinId="8" hidden="1"/>
    <cellStyle name="하이퍼링크" xfId="2687" builtinId="8" hidden="1"/>
    <cellStyle name="하이퍼링크" xfId="2689" builtinId="8" hidden="1"/>
    <cellStyle name="하이퍼링크" xfId="2691" builtinId="8" hidden="1"/>
    <cellStyle name="하이퍼링크" xfId="2693" builtinId="8" hidden="1"/>
    <cellStyle name="하이퍼링크" xfId="2695" builtinId="8" hidden="1"/>
    <cellStyle name="하이퍼링크" xfId="2697" builtinId="8" hidden="1"/>
    <cellStyle name="하이퍼링크" xfId="2699" builtinId="8" hidden="1"/>
    <cellStyle name="하이퍼링크" xfId="2701" builtinId="8" hidden="1"/>
    <cellStyle name="하이퍼링크" xfId="2703" builtinId="8" hidden="1"/>
    <cellStyle name="하이퍼링크" xfId="2705" builtinId="8" hidden="1"/>
    <cellStyle name="하이퍼링크" xfId="2707" builtinId="8" hidden="1"/>
    <cellStyle name="하이퍼링크" xfId="2709" builtinId="8" hidden="1"/>
    <cellStyle name="하이퍼링크" xfId="2711" builtinId="8" hidden="1"/>
    <cellStyle name="하이퍼링크" xfId="2713" builtinId="8" hidden="1"/>
    <cellStyle name="하이퍼링크" xfId="2715" builtinId="8" hidden="1"/>
    <cellStyle name="하이퍼링크" xfId="2717" builtinId="8" hidden="1"/>
    <cellStyle name="하이퍼링크" xfId="2719" builtinId="8" hidden="1"/>
    <cellStyle name="하이퍼링크" xfId="2721" builtinId="8" hidden="1"/>
    <cellStyle name="하이퍼링크" xfId="2723" builtinId="8" hidden="1"/>
    <cellStyle name="하이퍼링크" xfId="2725" builtinId="8" hidden="1"/>
    <cellStyle name="하이퍼링크" xfId="2727" builtinId="8" hidden="1"/>
    <cellStyle name="하이퍼링크" xfId="2729" builtinId="8" hidden="1"/>
    <cellStyle name="하이퍼링크" xfId="2731" builtinId="8" hidden="1"/>
    <cellStyle name="하이퍼링크" xfId="2733" builtinId="8" hidden="1"/>
    <cellStyle name="하이퍼링크" xfId="2735" builtinId="8" hidden="1"/>
    <cellStyle name="하이퍼링크" xfId="2737" builtinId="8" hidden="1"/>
    <cellStyle name="하이퍼링크" xfId="2739" builtinId="8" hidden="1"/>
    <cellStyle name="하이퍼링크" xfId="2741" builtinId="8" hidden="1"/>
    <cellStyle name="하이퍼링크" xfId="2743" builtinId="8" hidden="1"/>
    <cellStyle name="하이퍼링크" xfId="2745" builtinId="8" hidden="1"/>
    <cellStyle name="하이퍼링크" xfId="2747" builtinId="8" hidden="1"/>
    <cellStyle name="하이퍼링크" xfId="2749" builtinId="8" hidden="1"/>
    <cellStyle name="하이퍼링크" xfId="2751" builtinId="8" hidden="1"/>
    <cellStyle name="하이퍼링크" xfId="2753" builtinId="8" hidden="1"/>
    <cellStyle name="하이퍼링크" xfId="2755" builtinId="8" hidden="1"/>
    <cellStyle name="하이퍼링크" xfId="2757" builtinId="8" hidden="1"/>
    <cellStyle name="하이퍼링크" xfId="2759" builtinId="8" hidden="1"/>
    <cellStyle name="하이퍼링크" xfId="2761" builtinId="8" hidden="1"/>
    <cellStyle name="하이퍼링크" xfId="2763" builtinId="8" hidden="1"/>
    <cellStyle name="하이퍼링크" xfId="2765" builtinId="8" hidden="1"/>
    <cellStyle name="하이퍼링크" xfId="2767" builtinId="8" hidden="1"/>
    <cellStyle name="하이퍼링크" xfId="2769" builtinId="8" hidden="1"/>
    <cellStyle name="하이퍼링크" xfId="2771" builtinId="8" hidden="1"/>
    <cellStyle name="하이퍼링크" xfId="2773" builtinId="8" hidden="1"/>
    <cellStyle name="하이퍼링크" xfId="2775" builtinId="8" hidden="1"/>
    <cellStyle name="하이퍼링크" xfId="2777" builtinId="8" hidden="1"/>
    <cellStyle name="하이퍼링크" xfId="2779" builtinId="8" hidden="1"/>
    <cellStyle name="하이퍼링크" xfId="2781" builtinId="8" hidden="1"/>
    <cellStyle name="하이퍼링크" xfId="2783" builtinId="8" hidden="1"/>
    <cellStyle name="하이퍼링크" xfId="2785" builtinId="8" hidden="1"/>
    <cellStyle name="하이퍼링크" xfId="2787" builtinId="8" hidden="1"/>
    <cellStyle name="하이퍼링크" xfId="2789" builtinId="8" hidden="1"/>
    <cellStyle name="하이퍼링크" xfId="2791" builtinId="8" hidden="1"/>
    <cellStyle name="하이퍼링크" xfId="2793" builtinId="8" hidden="1"/>
    <cellStyle name="하이퍼링크" xfId="2795" builtinId="8" hidden="1"/>
    <cellStyle name="하이퍼링크" xfId="2797" builtinId="8" hidden="1"/>
    <cellStyle name="하이퍼링크" xfId="2799" builtinId="8" hidden="1"/>
    <cellStyle name="하이퍼링크" xfId="2801" builtinId="8" hidden="1"/>
    <cellStyle name="하이퍼링크" xfId="2803" builtinId="8" hidden="1"/>
    <cellStyle name="하이퍼링크" xfId="2805" builtinId="8" hidden="1"/>
    <cellStyle name="하이퍼링크" xfId="2807" builtinId="8" hidden="1"/>
    <cellStyle name="하이퍼링크" xfId="2809" builtinId="8" hidden="1"/>
    <cellStyle name="하이퍼링크" xfId="2811" builtinId="8" hidden="1"/>
    <cellStyle name="하이퍼링크" xfId="2813" builtinId="8" hidden="1"/>
    <cellStyle name="하이퍼링크" xfId="2815" builtinId="8" hidden="1"/>
    <cellStyle name="하이퍼링크" xfId="2817" builtinId="8" hidden="1"/>
    <cellStyle name="하이퍼링크" xfId="2819" builtinId="8" hidden="1"/>
    <cellStyle name="하이퍼링크" xfId="2821" builtinId="8" hidden="1"/>
    <cellStyle name="하이퍼링크" xfId="2823" builtinId="8" hidden="1"/>
    <cellStyle name="하이퍼링크" xfId="2825" builtinId="8" hidden="1"/>
    <cellStyle name="하이퍼링크" xfId="2827" builtinId="8" hidden="1"/>
    <cellStyle name="하이퍼링크" xfId="2829" builtinId="8" hidden="1"/>
    <cellStyle name="하이퍼링크" xfId="2831" builtinId="8" hidden="1"/>
    <cellStyle name="하이퍼링크" xfId="2833" builtinId="8" hidden="1"/>
    <cellStyle name="하이퍼링크" xfId="2835" builtinId="8" hidden="1"/>
    <cellStyle name="하이퍼링크" xfId="2837" builtinId="8" hidden="1"/>
    <cellStyle name="하이퍼링크" xfId="2839" builtinId="8" hidden="1"/>
    <cellStyle name="하이퍼링크" xfId="2841" builtinId="8" hidden="1"/>
    <cellStyle name="하이퍼링크" xfId="2843" builtinId="8" hidden="1"/>
    <cellStyle name="하이퍼링크" xfId="2845" builtinId="8" hidden="1"/>
    <cellStyle name="하이퍼링크" xfId="2847" builtinId="8" hidden="1"/>
    <cellStyle name="하이퍼링크" xfId="2849" builtinId="8" hidden="1"/>
    <cellStyle name="하이퍼링크" xfId="2851" builtinId="8" hidden="1"/>
    <cellStyle name="하이퍼링크" xfId="2853" builtinId="8" hidden="1"/>
    <cellStyle name="하이퍼링크" xfId="2855" builtinId="8" hidden="1"/>
    <cellStyle name="하이퍼링크" xfId="2857" builtinId="8" hidden="1"/>
    <cellStyle name="하이퍼링크" xfId="2859" builtinId="8" hidden="1"/>
    <cellStyle name="하이퍼링크" xfId="2861" builtinId="8" hidden="1"/>
    <cellStyle name="하이퍼링크" xfId="2863" builtinId="8" hidden="1"/>
    <cellStyle name="하이퍼링크" xfId="2865" builtinId="8" hidden="1"/>
    <cellStyle name="하이퍼링크" xfId="2867" builtinId="8" hidden="1"/>
    <cellStyle name="하이퍼링크" xfId="2869" builtinId="8" hidden="1"/>
    <cellStyle name="하이퍼링크" xfId="2871" builtinId="8" hidden="1"/>
    <cellStyle name="하이퍼링크" xfId="2873" builtinId="8" hidden="1"/>
    <cellStyle name="하이퍼링크" xfId="2875" builtinId="8" hidden="1"/>
    <cellStyle name="하이퍼링크" xfId="2877" builtinId="8" hidden="1"/>
    <cellStyle name="하이퍼링크" xfId="2879" builtinId="8" hidden="1"/>
    <cellStyle name="하이퍼링크" xfId="2881" builtinId="8" hidden="1"/>
    <cellStyle name="하이퍼링크" xfId="2883" builtinId="8" hidden="1"/>
    <cellStyle name="하이퍼링크" xfId="2885" builtinId="8" hidden="1"/>
    <cellStyle name="하이퍼링크" xfId="2887" builtinId="8" hidden="1"/>
    <cellStyle name="하이퍼링크" xfId="2889" builtinId="8" hidden="1"/>
    <cellStyle name="하이퍼링크" xfId="2891" builtinId="8" hidden="1"/>
    <cellStyle name="하이퍼링크" xfId="2893" builtinId="8" hidden="1"/>
    <cellStyle name="하이퍼링크" xfId="2895" builtinId="8" hidden="1"/>
    <cellStyle name="하이퍼링크" xfId="2897" builtinId="8" hidden="1"/>
    <cellStyle name="하이퍼링크" xfId="2899" builtinId="8" hidden="1"/>
    <cellStyle name="하이퍼링크" xfId="2901" builtinId="8" hidden="1"/>
    <cellStyle name="하이퍼링크" xfId="2903" builtinId="8" hidden="1"/>
    <cellStyle name="하이퍼링크" xfId="2905" builtinId="8" hidden="1"/>
    <cellStyle name="하이퍼링크" xfId="2907" builtinId="8" hidden="1"/>
    <cellStyle name="하이퍼링크" xfId="2909" builtinId="8" hidden="1"/>
    <cellStyle name="하이퍼링크" xfId="2911" builtinId="8" hidden="1"/>
    <cellStyle name="하이퍼링크" xfId="2913" builtinId="8" hidden="1"/>
    <cellStyle name="하이퍼링크" xfId="2915" builtinId="8" hidden="1"/>
    <cellStyle name="하이퍼링크" xfId="2917" builtinId="8" hidden="1"/>
    <cellStyle name="하이퍼링크" xfId="2919" builtinId="8" hidden="1"/>
    <cellStyle name="하이퍼링크" xfId="2921" builtinId="8" hidden="1"/>
    <cellStyle name="하이퍼링크" xfId="2923" builtinId="8" hidden="1"/>
    <cellStyle name="하이퍼링크" xfId="2925" builtinId="8" hidden="1"/>
    <cellStyle name="하이퍼링크" xfId="2927" builtinId="8" hidden="1"/>
    <cellStyle name="하이퍼링크" xfId="2929" builtinId="8" hidden="1"/>
    <cellStyle name="하이퍼링크" xfId="2931" builtinId="8" hidden="1"/>
    <cellStyle name="하이퍼링크" xfId="2933" builtinId="8" hidden="1"/>
    <cellStyle name="하이퍼링크" xfId="2935" builtinId="8" hidden="1"/>
    <cellStyle name="하이퍼링크" xfId="2937" builtinId="8" hidden="1"/>
    <cellStyle name="하이퍼링크" xfId="2939" builtinId="8" hidden="1"/>
    <cellStyle name="하이퍼링크" xfId="2941" builtinId="8" hidden="1"/>
    <cellStyle name="하이퍼링크" xfId="2943" builtinId="8" hidden="1"/>
    <cellStyle name="하이퍼링크" xfId="2945" builtinId="8" hidden="1"/>
    <cellStyle name="하이퍼링크" xfId="2947" builtinId="8" hidden="1"/>
    <cellStyle name="하이퍼링크" xfId="2949" builtinId="8" hidden="1"/>
    <cellStyle name="하이퍼링크" xfId="2951" builtinId="8" hidden="1"/>
    <cellStyle name="하이퍼링크" xfId="2953" builtinId="8" hidden="1"/>
    <cellStyle name="하이퍼링크" xfId="2955" builtinId="8" hidden="1"/>
    <cellStyle name="하이퍼링크" xfId="2957" builtinId="8" hidden="1"/>
    <cellStyle name="하이퍼링크" xfId="2959" builtinId="8" hidden="1"/>
    <cellStyle name="하이퍼링크" xfId="2961" builtinId="8" hidden="1"/>
    <cellStyle name="하이퍼링크" xfId="2963" builtinId="8" hidden="1"/>
    <cellStyle name="하이퍼링크" xfId="2965" builtinId="8" hidden="1"/>
    <cellStyle name="하이퍼링크" xfId="2967" builtinId="8" hidden="1"/>
    <cellStyle name="하이퍼링크" xfId="2969" builtinId="8" hidden="1"/>
    <cellStyle name="하이퍼링크" xfId="2971" builtinId="8" hidden="1"/>
    <cellStyle name="하이퍼링크" xfId="2973" builtinId="8" hidden="1"/>
    <cellStyle name="하이퍼링크" xfId="2975" builtinId="8" hidden="1"/>
    <cellStyle name="하이퍼링크" xfId="2977" builtinId="8" hidden="1"/>
    <cellStyle name="하이퍼링크" xfId="2979" builtinId="8" hidden="1"/>
    <cellStyle name="하이퍼링크" xfId="2981" builtinId="8" hidden="1"/>
    <cellStyle name="하이퍼링크" xfId="2983" builtinId="8" hidden="1"/>
    <cellStyle name="하이퍼링크" xfId="2985" builtinId="8" hidden="1"/>
    <cellStyle name="하이퍼링크" xfId="2987" builtinId="8" hidden="1"/>
    <cellStyle name="하이퍼링크" xfId="2989" builtinId="8" hidden="1"/>
    <cellStyle name="하이퍼링크" xfId="2991" builtinId="8" hidden="1"/>
    <cellStyle name="하이퍼링크" xfId="2993" builtinId="8" hidden="1"/>
    <cellStyle name="하이퍼링크" xfId="2995" builtinId="8" hidden="1"/>
    <cellStyle name="하이퍼링크" xfId="2997" builtinId="8" hidden="1"/>
    <cellStyle name="하이퍼링크" xfId="2999" builtinId="8" hidden="1"/>
    <cellStyle name="하이퍼링크" xfId="3001" builtinId="8" hidden="1"/>
    <cellStyle name="하이퍼링크" xfId="3003" builtinId="8" hidden="1"/>
    <cellStyle name="하이퍼링크" xfId="3005" builtinId="8" hidden="1"/>
    <cellStyle name="하이퍼링크" xfId="3007" builtinId="8" hidden="1"/>
    <cellStyle name="하이퍼링크" xfId="3009" builtinId="8" hidden="1"/>
    <cellStyle name="하이퍼링크" xfId="3011" builtinId="8" hidden="1"/>
    <cellStyle name="하이퍼링크" xfId="3013" builtinId="8" hidden="1"/>
    <cellStyle name="하이퍼링크" xfId="3015" builtinId="8" hidden="1"/>
    <cellStyle name="하이퍼링크" xfId="3017" builtinId="8" hidden="1"/>
    <cellStyle name="하이퍼링크" xfId="3019" builtinId="8" hidden="1"/>
    <cellStyle name="하이퍼링크" xfId="3021" builtinId="8" hidden="1"/>
    <cellStyle name="하이퍼링크" xfId="3023" builtinId="8" hidden="1"/>
    <cellStyle name="하이퍼링크" xfId="3025" builtinId="8" hidden="1"/>
    <cellStyle name="하이퍼링크" xfId="3027" builtinId="8" hidden="1"/>
    <cellStyle name="하이퍼링크" xfId="3029" builtinId="8" hidden="1"/>
    <cellStyle name="하이퍼링크" xfId="3031" builtinId="8" hidden="1"/>
    <cellStyle name="하이퍼링크" xfId="3033" builtinId="8" hidden="1"/>
    <cellStyle name="하이퍼링크" xfId="3035" builtinId="8" hidden="1"/>
    <cellStyle name="하이퍼링크" xfId="3037" builtinId="8" hidden="1"/>
    <cellStyle name="하이퍼링크" xfId="3039" builtinId="8" hidden="1"/>
    <cellStyle name="하이퍼링크" xfId="3041" builtinId="8" hidden="1"/>
    <cellStyle name="하이퍼링크" xfId="3043" builtinId="8" hidden="1"/>
    <cellStyle name="하이퍼링크" xfId="3045" builtinId="8" hidden="1"/>
    <cellStyle name="하이퍼링크" xfId="3047" builtinId="8" hidden="1"/>
    <cellStyle name="하이퍼링크" xfId="3049" builtinId="8" hidden="1"/>
    <cellStyle name="하이퍼링크" xfId="3051" builtinId="8" hidden="1"/>
    <cellStyle name="하이퍼링크" xfId="3053" builtinId="8" hidden="1"/>
    <cellStyle name="하이퍼링크" xfId="3055" builtinId="8" hidden="1"/>
    <cellStyle name="하이퍼링크" xfId="3057" builtinId="8" hidden="1"/>
    <cellStyle name="하이퍼링크" xfId="3059" builtinId="8" hidden="1"/>
    <cellStyle name="하이퍼링크" xfId="3061" builtinId="8" hidden="1"/>
    <cellStyle name="하이퍼링크" xfId="3063" builtinId="8" hidden="1"/>
    <cellStyle name="하이퍼링크" xfId="3065" builtinId="8" hidden="1"/>
    <cellStyle name="하이퍼링크" xfId="3067" builtinId="8" hidden="1"/>
    <cellStyle name="하이퍼링크" xfId="3069" builtinId="8" hidden="1"/>
    <cellStyle name="하이퍼링크" xfId="3071" builtinId="8" hidden="1"/>
    <cellStyle name="하이퍼링크" xfId="3073" builtinId="8" hidden="1"/>
    <cellStyle name="하이퍼링크" xfId="3075" builtinId="8" hidden="1"/>
    <cellStyle name="하이퍼링크" xfId="3077" builtinId="8" hidden="1"/>
    <cellStyle name="하이퍼링크" xfId="3079" builtinId="8" hidden="1"/>
    <cellStyle name="하이퍼링크" xfId="3081" builtinId="8" hidden="1"/>
    <cellStyle name="하이퍼링크" xfId="3083" builtinId="8" hidden="1"/>
    <cellStyle name="하이퍼링크" xfId="3085" builtinId="8" hidden="1"/>
    <cellStyle name="하이퍼링크" xfId="3087" builtinId="8" hidden="1"/>
    <cellStyle name="하이퍼링크" xfId="3089" builtinId="8" hidden="1"/>
    <cellStyle name="하이퍼링크" xfId="3091" builtinId="8" hidden="1"/>
    <cellStyle name="하이퍼링크" xfId="3093" builtinId="8" hidden="1"/>
    <cellStyle name="하이퍼링크" xfId="3095" builtinId="8" hidden="1"/>
    <cellStyle name="하이퍼링크" xfId="3097" builtinId="8" hidden="1"/>
    <cellStyle name="하이퍼링크" xfId="3099" builtinId="8" hidden="1"/>
    <cellStyle name="하이퍼링크" xfId="3101" builtinId="8" hidden="1"/>
    <cellStyle name="하이퍼링크" xfId="3103" builtinId="8" hidden="1"/>
    <cellStyle name="하이퍼링크" xfId="3105" builtinId="8" hidden="1"/>
    <cellStyle name="하이퍼링크" xfId="3107" builtinId="8" hidden="1"/>
    <cellStyle name="하이퍼링크" xfId="3109" builtinId="8" hidden="1"/>
    <cellStyle name="하이퍼링크" xfId="3111" builtinId="8" hidden="1"/>
    <cellStyle name="하이퍼링크" xfId="3113" builtinId="8" hidden="1"/>
    <cellStyle name="하이퍼링크" xfId="3115" builtinId="8" hidden="1"/>
    <cellStyle name="하이퍼링크" xfId="3117" builtinId="8" hidden="1"/>
    <cellStyle name="하이퍼링크" xfId="3119" builtinId="8" hidden="1"/>
    <cellStyle name="하이퍼링크" xfId="3121" builtinId="8" hidden="1"/>
    <cellStyle name="하이퍼링크" xfId="3123" builtinId="8" hidden="1"/>
    <cellStyle name="하이퍼링크" xfId="3125" builtinId="8" hidden="1"/>
    <cellStyle name="하이퍼링크" xfId="3127" builtinId="8" hidden="1"/>
    <cellStyle name="하이퍼링크" xfId="3129" builtinId="8" hidden="1"/>
    <cellStyle name="하이퍼링크" xfId="3131" builtinId="8" hidden="1"/>
    <cellStyle name="하이퍼링크" xfId="3133" builtinId="8" hidden="1"/>
    <cellStyle name="하이퍼링크" xfId="3135" builtinId="8" hidden="1"/>
    <cellStyle name="하이퍼링크" xfId="3137" builtinId="8" hidden="1"/>
    <cellStyle name="하이퍼링크" xfId="3139" builtinId="8" hidden="1"/>
    <cellStyle name="하이퍼링크" xfId="3141" builtinId="8" hidden="1"/>
    <cellStyle name="하이퍼링크" xfId="3143" builtinId="8" hidden="1"/>
    <cellStyle name="하이퍼링크" xfId="3145" builtinId="8" hidden="1"/>
    <cellStyle name="하이퍼링크" xfId="3147" builtinId="8" hidden="1"/>
    <cellStyle name="하이퍼링크" xfId="3149" builtinId="8" hidden="1"/>
    <cellStyle name="하이퍼링크" xfId="3151" builtinId="8" hidden="1"/>
    <cellStyle name="하이퍼링크" xfId="3153" builtinId="8" hidden="1"/>
    <cellStyle name="하이퍼링크" xfId="3155" builtinId="8" hidden="1"/>
    <cellStyle name="하이퍼링크" xfId="3157" builtinId="8" hidden="1"/>
    <cellStyle name="하이퍼링크" xfId="3159" builtinId="8" hidden="1"/>
    <cellStyle name="하이퍼링크" xfId="3161" builtinId="8" hidden="1"/>
    <cellStyle name="하이퍼링크" xfId="3163" builtinId="8" hidden="1"/>
    <cellStyle name="하이퍼링크" xfId="3165" builtinId="8" hidden="1"/>
    <cellStyle name="하이퍼링크" xfId="3167" builtinId="8" hidden="1"/>
    <cellStyle name="하이퍼링크" xfId="3169" builtinId="8" hidden="1"/>
    <cellStyle name="하이퍼링크" xfId="3171" builtinId="8" hidden="1"/>
    <cellStyle name="하이퍼링크" xfId="3173" builtinId="8" hidden="1"/>
    <cellStyle name="하이퍼링크" xfId="3175" builtinId="8" hidden="1"/>
    <cellStyle name="하이퍼링크" xfId="3177" builtinId="8" hidden="1"/>
    <cellStyle name="하이퍼링크" xfId="3179" builtinId="8" hidden="1"/>
    <cellStyle name="하이퍼링크" xfId="3181" builtinId="8" hidden="1"/>
    <cellStyle name="하이퍼링크" xfId="3183" builtinId="8" hidden="1"/>
    <cellStyle name="하이퍼링크" xfId="3185" builtinId="8" hidden="1"/>
    <cellStyle name="하이퍼링크" xfId="3187" builtinId="8" hidden="1"/>
    <cellStyle name="하이퍼링크" xfId="3189" builtinId="8" hidden="1"/>
    <cellStyle name="하이퍼링크" xfId="3191" builtinId="8" hidden="1"/>
    <cellStyle name="하이퍼링크" xfId="3193" builtinId="8" hidden="1"/>
    <cellStyle name="하이퍼링크" xfId="3195" builtinId="8" hidden="1"/>
    <cellStyle name="하이퍼링크" xfId="3197" builtinId="8" hidden="1"/>
    <cellStyle name="하이퍼링크" xfId="3199" builtinId="8" hidden="1"/>
    <cellStyle name="하이퍼링크" xfId="3201" builtinId="8" hidden="1"/>
    <cellStyle name="하이퍼링크" xfId="3203" builtinId="8" hidden="1"/>
    <cellStyle name="하이퍼링크" xfId="3205" builtinId="8" hidden="1"/>
    <cellStyle name="하이퍼링크" xfId="3207" builtinId="8" hidden="1"/>
    <cellStyle name="하이퍼링크" xfId="3209" builtinId="8" hidden="1"/>
    <cellStyle name="하이퍼링크" xfId="3211" builtinId="8" hidden="1"/>
    <cellStyle name="하이퍼링크" xfId="3213" builtinId="8" hidden="1"/>
    <cellStyle name="하이퍼링크" xfId="3215" builtinId="8" hidden="1"/>
    <cellStyle name="하이퍼링크" xfId="3217" builtinId="8" hidden="1"/>
    <cellStyle name="하이퍼링크" xfId="3219" builtinId="8" hidden="1"/>
    <cellStyle name="하이퍼링크" xfId="3221" builtinId="8" hidden="1"/>
    <cellStyle name="하이퍼링크" xfId="3223" builtinId="8" hidden="1"/>
    <cellStyle name="하이퍼링크" xfId="3225" builtinId="8" hidden="1"/>
    <cellStyle name="하이퍼링크" xfId="3227" builtinId="8" hidden="1"/>
    <cellStyle name="하이퍼링크" xfId="3229" builtinId="8" hidden="1"/>
    <cellStyle name="하이퍼링크" xfId="3231" builtinId="8" hidden="1"/>
    <cellStyle name="하이퍼링크" xfId="3233" builtinId="8" hidden="1"/>
    <cellStyle name="하이퍼링크" xfId="3235" builtinId="8" hidden="1"/>
    <cellStyle name="하이퍼링크" xfId="3237" builtinId="8" hidden="1"/>
    <cellStyle name="하이퍼링크" xfId="3239" builtinId="8" hidden="1"/>
    <cellStyle name="하이퍼링크" xfId="3241" builtinId="8" hidden="1"/>
    <cellStyle name="하이퍼링크" xfId="3243" builtinId="8" hidden="1"/>
    <cellStyle name="하이퍼링크" xfId="3245" builtinId="8" hidden="1"/>
    <cellStyle name="하이퍼링크" xfId="3247" builtinId="8" hidden="1"/>
    <cellStyle name="하이퍼링크" xfId="3249" builtinId="8" hidden="1"/>
    <cellStyle name="하이퍼링크" xfId="3251" builtinId="8" hidden="1"/>
    <cellStyle name="하이퍼링크" xfId="3253" builtinId="8" hidden="1"/>
    <cellStyle name="하이퍼링크" xfId="3255" builtinId="8" hidden="1"/>
    <cellStyle name="하이퍼링크" xfId="3257" builtinId="8" hidden="1"/>
    <cellStyle name="하이퍼링크" xfId="3259" builtinId="8" hidden="1"/>
    <cellStyle name="하이퍼링크" xfId="3261" builtinId="8" hidden="1"/>
    <cellStyle name="하이퍼링크" xfId="3263" builtinId="8" hidden="1"/>
    <cellStyle name="하이퍼링크" xfId="3265" builtinId="8" hidden="1"/>
    <cellStyle name="하이퍼링크" xfId="3267" builtinId="8" hidden="1"/>
    <cellStyle name="하이퍼링크" xfId="3269" builtinId="8" hidden="1"/>
    <cellStyle name="하이퍼링크" xfId="3271" builtinId="8" hidden="1"/>
    <cellStyle name="하이퍼링크" xfId="3273" builtinId="8" hidden="1"/>
    <cellStyle name="하이퍼링크" xfId="3275" builtinId="8" hidden="1"/>
    <cellStyle name="하이퍼링크" xfId="3277" builtinId="8" hidden="1"/>
    <cellStyle name="하이퍼링크" xfId="3279" builtinId="8" hidden="1"/>
    <cellStyle name="하이퍼링크" xfId="3281" builtinId="8" hidden="1"/>
    <cellStyle name="하이퍼링크" xfId="3283" builtinId="8" hidden="1"/>
    <cellStyle name="하이퍼링크" xfId="3285" builtinId="8" hidden="1"/>
    <cellStyle name="하이퍼링크" xfId="3287" builtinId="8" hidden="1"/>
    <cellStyle name="하이퍼링크" xfId="3289" builtinId="8" hidden="1"/>
    <cellStyle name="하이퍼링크" xfId="3291" builtinId="8" hidden="1"/>
    <cellStyle name="하이퍼링크" xfId="3293" builtinId="8" hidden="1"/>
    <cellStyle name="하이퍼링크" xfId="3295" builtinId="8" hidden="1"/>
    <cellStyle name="하이퍼링크" xfId="3297" builtinId="8" hidden="1"/>
    <cellStyle name="하이퍼링크" xfId="3299" builtinId="8" hidden="1"/>
    <cellStyle name="하이퍼링크" xfId="3301" builtinId="8" hidden="1"/>
    <cellStyle name="하이퍼링크" xfId="3303" builtinId="8" hidden="1"/>
    <cellStyle name="하이퍼링크" xfId="3305" builtinId="8" hidden="1"/>
    <cellStyle name="하이퍼링크" xfId="3307" builtinId="8" hidden="1"/>
    <cellStyle name="하이퍼링크" xfId="3309" builtinId="8" hidden="1"/>
    <cellStyle name="하이퍼링크" xfId="3311" builtinId="8" hidden="1"/>
    <cellStyle name="하이퍼링크" xfId="3313" builtinId="8" hidden="1"/>
    <cellStyle name="하이퍼링크" xfId="3315" builtinId="8" hidden="1"/>
    <cellStyle name="하이퍼링크" xfId="3317" builtinId="8" hidden="1"/>
    <cellStyle name="하이퍼링크" xfId="3319" builtinId="8" hidden="1"/>
    <cellStyle name="하이퍼링크" xfId="3321" builtinId="8" hidden="1"/>
    <cellStyle name="하이퍼링크" xfId="3323" builtinId="8" hidden="1"/>
    <cellStyle name="하이퍼링크" xfId="3325" builtinId="8" hidden="1"/>
    <cellStyle name="하이퍼링크" xfId="3327" builtinId="8" hidden="1"/>
    <cellStyle name="하이퍼링크" xfId="3329" builtinId="8" hidden="1"/>
    <cellStyle name="하이퍼링크" xfId="3331" builtinId="8" hidden="1"/>
    <cellStyle name="하이퍼링크" xfId="3333" builtinId="8" hidden="1"/>
    <cellStyle name="하이퍼링크" xfId="3335" builtinId="8" hidden="1"/>
    <cellStyle name="하이퍼링크" xfId="3337" builtinId="8" hidden="1"/>
    <cellStyle name="하이퍼링크" xfId="3339" builtinId="8" hidden="1"/>
    <cellStyle name="하이퍼링크" xfId="3341" builtinId="8" hidden="1"/>
    <cellStyle name="하이퍼링크" xfId="3343" builtinId="8" hidden="1"/>
    <cellStyle name="하이퍼링크" xfId="3345" builtinId="8" hidden="1"/>
    <cellStyle name="하이퍼링크" xfId="3347" builtinId="8" hidden="1"/>
    <cellStyle name="하이퍼링크" xfId="3349" builtinId="8" hidden="1"/>
    <cellStyle name="하이퍼링크" xfId="3351" builtinId="8" hidden="1"/>
    <cellStyle name="하이퍼링크" xfId="3353" builtinId="8" hidden="1"/>
    <cellStyle name="하이퍼링크" xfId="3355" builtinId="8" hidden="1"/>
    <cellStyle name="하이퍼링크" xfId="3357" builtinId="8" hidden="1"/>
    <cellStyle name="하이퍼링크" xfId="3359" builtinId="8" hidden="1"/>
    <cellStyle name="하이퍼링크" xfId="3361" builtinId="8" hidden="1"/>
    <cellStyle name="하이퍼링크" xfId="3363" builtinId="8" hidden="1"/>
    <cellStyle name="하이퍼링크" xfId="3365" builtinId="8" hidden="1"/>
    <cellStyle name="하이퍼링크" xfId="3367" builtinId="8" hidden="1"/>
    <cellStyle name="하이퍼링크" xfId="3369" builtinId="8" hidden="1"/>
    <cellStyle name="하이퍼링크" xfId="3371" builtinId="8" hidden="1"/>
    <cellStyle name="하이퍼링크" xfId="3373" builtinId="8" hidden="1"/>
    <cellStyle name="하이퍼링크" xfId="3375" builtinId="8" hidden="1"/>
    <cellStyle name="하이퍼링크" xfId="3377" builtinId="8" hidden="1"/>
    <cellStyle name="하이퍼링크" xfId="3379" builtinId="8" hidden="1"/>
    <cellStyle name="하이퍼링크" xfId="3381" builtinId="8" hidden="1"/>
    <cellStyle name="하이퍼링크" xfId="3383" builtinId="8" hidden="1"/>
    <cellStyle name="하이퍼링크" xfId="3385" builtinId="8" hidden="1"/>
    <cellStyle name="하이퍼링크" xfId="3387" builtinId="8" hidden="1"/>
    <cellStyle name="하이퍼링크" xfId="3389" builtinId="8" hidden="1"/>
    <cellStyle name="하이퍼링크" xfId="3391" builtinId="8" hidden="1"/>
    <cellStyle name="하이퍼링크" xfId="3393" builtinId="8" hidden="1"/>
    <cellStyle name="하이퍼링크" xfId="3395" builtinId="8" hidden="1"/>
    <cellStyle name="하이퍼링크" xfId="3397" builtinId="8" hidden="1"/>
    <cellStyle name="하이퍼링크" xfId="3399" builtinId="8" hidden="1"/>
    <cellStyle name="하이퍼링크" xfId="3401" builtinId="8" hidden="1"/>
    <cellStyle name="하이퍼링크" xfId="3403" builtinId="8" hidden="1"/>
    <cellStyle name="하이퍼링크" xfId="3405" builtinId="8" hidden="1"/>
    <cellStyle name="하이퍼링크" xfId="3407" builtinId="8" hidden="1"/>
    <cellStyle name="하이퍼링크" xfId="3409" builtinId="8" hidden="1"/>
    <cellStyle name="하이퍼링크" xfId="3411" builtinId="8" hidden="1"/>
    <cellStyle name="하이퍼링크" xfId="3413" builtinId="8" hidden="1"/>
    <cellStyle name="하이퍼링크" xfId="3415" builtinId="8" hidden="1"/>
    <cellStyle name="하이퍼링크" xfId="3417" builtinId="8" hidden="1"/>
    <cellStyle name="하이퍼링크" xfId="3419" builtinId="8" hidden="1"/>
    <cellStyle name="하이퍼링크" xfId="3421" builtinId="8" hidden="1"/>
    <cellStyle name="하이퍼링크" xfId="3423" builtinId="8" hidden="1"/>
    <cellStyle name="하이퍼링크" xfId="3425" builtinId="8" hidden="1"/>
    <cellStyle name="하이퍼링크" xfId="3427" builtinId="8" hidden="1"/>
    <cellStyle name="하이퍼링크" xfId="3429" builtinId="8" hidden="1"/>
    <cellStyle name="하이퍼링크" xfId="3431" builtinId="8" hidden="1"/>
    <cellStyle name="하이퍼링크" xfId="3433" builtinId="8" hidden="1"/>
    <cellStyle name="하이퍼링크" xfId="3435" builtinId="8" hidden="1"/>
    <cellStyle name="하이퍼링크" xfId="3437" builtinId="8" hidden="1"/>
    <cellStyle name="하이퍼링크" xfId="3439" builtinId="8" hidden="1"/>
    <cellStyle name="하이퍼링크" xfId="3441" builtinId="8" hidden="1"/>
    <cellStyle name="하이퍼링크" xfId="3443" builtinId="8" hidden="1"/>
    <cellStyle name="하이퍼링크" xfId="3445" builtinId="8" hidden="1"/>
    <cellStyle name="하이퍼링크" xfId="3447" builtinId="8" hidden="1"/>
    <cellStyle name="하이퍼링크" xfId="3449" builtinId="8" hidden="1"/>
    <cellStyle name="하이퍼링크" xfId="3451" builtinId="8" hidden="1"/>
    <cellStyle name="하이퍼링크" xfId="3453" builtinId="8" hidden="1"/>
    <cellStyle name="하이퍼링크" xfId="3455" builtinId="8" hidden="1"/>
    <cellStyle name="하이퍼링크" xfId="3457" builtinId="8" hidden="1"/>
    <cellStyle name="하이퍼링크" xfId="3459" builtinId="8" hidden="1"/>
    <cellStyle name="하이퍼링크" xfId="3461" builtinId="8" hidden="1"/>
    <cellStyle name="하이퍼링크" xfId="3463" builtinId="8" hidden="1"/>
    <cellStyle name="하이퍼링크" xfId="3465" builtinId="8" hidden="1"/>
    <cellStyle name="하이퍼링크" xfId="3467" builtinId="8" hidden="1"/>
    <cellStyle name="하이퍼링크" xfId="3469" builtinId="8" hidden="1"/>
    <cellStyle name="하이퍼링크" xfId="3471" builtinId="8" hidden="1"/>
    <cellStyle name="하이퍼링크" xfId="3473" builtinId="8" hidden="1"/>
    <cellStyle name="하이퍼링크" xfId="3475" builtinId="8" hidden="1"/>
    <cellStyle name="하이퍼링크" xfId="3477" builtinId="8" hidden="1"/>
    <cellStyle name="하이퍼링크" xfId="3479" builtinId="8" hidden="1"/>
    <cellStyle name="하이퍼링크" xfId="3481" builtinId="8" hidden="1"/>
    <cellStyle name="하이퍼링크" xfId="3483" builtinId="8" hidden="1"/>
    <cellStyle name="하이퍼링크" xfId="3485" builtinId="8" hidden="1"/>
    <cellStyle name="하이퍼링크" xfId="3487" builtinId="8" hidden="1"/>
    <cellStyle name="하이퍼링크" xfId="3489" builtinId="8" hidden="1"/>
    <cellStyle name="하이퍼링크" xfId="3491" builtinId="8" hidden="1"/>
    <cellStyle name="하이퍼링크" xfId="3493" builtinId="8" hidden="1"/>
    <cellStyle name="하이퍼링크" xfId="3495" builtinId="8" hidden="1"/>
    <cellStyle name="하이퍼링크" xfId="3497" builtinId="8" hidden="1"/>
    <cellStyle name="하이퍼링크" xfId="3499" builtinId="8" hidden="1"/>
    <cellStyle name="하이퍼링크" xfId="3501" builtinId="8" hidden="1"/>
    <cellStyle name="하이퍼링크" xfId="3503" builtinId="8" hidden="1"/>
    <cellStyle name="하이퍼링크" xfId="3505" builtinId="8" hidden="1"/>
    <cellStyle name="하이퍼링크" xfId="3507" builtinId="8" hidden="1"/>
    <cellStyle name="하이퍼링크" xfId="3509" builtinId="8" hidden="1"/>
    <cellStyle name="하이퍼링크" xfId="3511" builtinId="8" hidden="1"/>
    <cellStyle name="하이퍼링크" xfId="3513" builtinId="8" hidden="1"/>
    <cellStyle name="하이퍼링크" xfId="3515" builtinId="8" hidden="1"/>
    <cellStyle name="하이퍼링크" xfId="3517" builtinId="8" hidden="1"/>
    <cellStyle name="하이퍼링크" xfId="3519" builtinId="8" hidden="1"/>
    <cellStyle name="하이퍼링크" xfId="3521" builtinId="8" hidden="1"/>
    <cellStyle name="하이퍼링크" xfId="3523" builtinId="8" hidden="1"/>
    <cellStyle name="하이퍼링크" xfId="3525" builtinId="8" hidden="1"/>
    <cellStyle name="하이퍼링크" xfId="3527" builtinId="8" hidden="1"/>
    <cellStyle name="하이퍼링크" xfId="3529" builtinId="8" hidden="1"/>
    <cellStyle name="하이퍼링크" xfId="3531" builtinId="8" hidden="1"/>
    <cellStyle name="하이퍼링크" xfId="3533" builtinId="8" hidden="1"/>
    <cellStyle name="하이퍼링크" xfId="3535" builtinId="8" hidden="1"/>
    <cellStyle name="하이퍼링크" xfId="3537" builtinId="8" hidden="1"/>
    <cellStyle name="하이퍼링크" xfId="3539" builtinId="8" hidden="1"/>
    <cellStyle name="하이퍼링크" xfId="3541" builtinId="8" hidden="1"/>
    <cellStyle name="하이퍼링크" xfId="3543" builtinId="8" hidden="1"/>
    <cellStyle name="하이퍼링크" xfId="3545" builtinId="8" hidden="1"/>
    <cellStyle name="하이퍼링크" xfId="3547" builtinId="8" hidden="1"/>
    <cellStyle name="하이퍼링크" xfId="3549" builtinId="8" hidden="1"/>
    <cellStyle name="하이퍼링크" xfId="3551" builtinId="8" hidden="1"/>
    <cellStyle name="하이퍼링크" xfId="3553" builtinId="8" hidden="1"/>
    <cellStyle name="하이퍼링크" xfId="3555" builtinId="8" hidden="1"/>
    <cellStyle name="하이퍼링크" xfId="3557" builtinId="8" hidden="1"/>
    <cellStyle name="하이퍼링크" xfId="3559" builtinId="8" hidden="1"/>
    <cellStyle name="하이퍼링크" xfId="3561" builtinId="8" hidden="1"/>
    <cellStyle name="하이퍼링크" xfId="3563" builtinId="8" hidden="1"/>
    <cellStyle name="하이퍼링크" xfId="3565" builtinId="8" hidden="1"/>
    <cellStyle name="하이퍼링크" xfId="3567" builtinId="8" hidden="1"/>
    <cellStyle name="하이퍼링크" xfId="3569" builtinId="8" hidden="1"/>
    <cellStyle name="하이퍼링크" xfId="3571" builtinId="8" hidden="1"/>
    <cellStyle name="하이퍼링크" xfId="3573" builtinId="8" hidden="1"/>
    <cellStyle name="하이퍼링크" xfId="3575" builtinId="8" hidden="1"/>
    <cellStyle name="하이퍼링크" xfId="3577" builtinId="8" hidden="1"/>
    <cellStyle name="하이퍼링크" xfId="3579" builtinId="8" hidden="1"/>
    <cellStyle name="하이퍼링크" xfId="3581" builtinId="8" hidden="1"/>
    <cellStyle name="하이퍼링크" xfId="3583" builtinId="8" hidden="1"/>
    <cellStyle name="하이퍼링크" xfId="3585" builtinId="8" hidden="1"/>
    <cellStyle name="하이퍼링크" xfId="3587" builtinId="8" hidden="1"/>
    <cellStyle name="하이퍼링크" xfId="3589" builtinId="8" hidden="1"/>
    <cellStyle name="하이퍼링크" xfId="3591" builtinId="8" hidden="1"/>
    <cellStyle name="하이퍼링크" xfId="3593" builtinId="8" hidden="1"/>
    <cellStyle name="하이퍼링크" xfId="3595" builtinId="8" hidden="1"/>
    <cellStyle name="하이퍼링크" xfId="3597" builtinId="8" hidden="1"/>
    <cellStyle name="하이퍼링크" xfId="3599" builtinId="8" hidden="1"/>
    <cellStyle name="하이퍼링크" xfId="3601" builtinId="8" hidden="1"/>
    <cellStyle name="하이퍼링크" xfId="3603" builtinId="8" hidden="1"/>
    <cellStyle name="하이퍼링크" xfId="3605" builtinId="8" hidden="1"/>
    <cellStyle name="하이퍼링크" xfId="3607" builtinId="8" hidden="1"/>
    <cellStyle name="하이퍼링크" xfId="3609" builtinId="8" hidden="1"/>
    <cellStyle name="하이퍼링크" xfId="3611" builtinId="8" hidden="1"/>
    <cellStyle name="하이퍼링크" xfId="3613" builtinId="8" hidden="1"/>
    <cellStyle name="하이퍼링크" xfId="3615" builtinId="8" hidden="1"/>
    <cellStyle name="하이퍼링크" xfId="3617" builtinId="8" hidden="1"/>
    <cellStyle name="하이퍼링크" xfId="3619" builtinId="8" hidden="1"/>
    <cellStyle name="하이퍼링크" xfId="3621" builtinId="8" hidden="1"/>
    <cellStyle name="하이퍼링크" xfId="3623" builtinId="8" hidden="1"/>
    <cellStyle name="하이퍼링크" xfId="3625" builtinId="8" hidden="1"/>
    <cellStyle name="하이퍼링크" xfId="3627" builtinId="8" hidden="1"/>
    <cellStyle name="하이퍼링크" xfId="3629" builtinId="8" hidden="1"/>
    <cellStyle name="하이퍼링크" xfId="3631" builtinId="8" hidden="1"/>
    <cellStyle name="하이퍼링크" xfId="3633" builtinId="8" hidden="1"/>
    <cellStyle name="하이퍼링크" xfId="3635" builtinId="8" hidden="1"/>
    <cellStyle name="하이퍼링크" xfId="3637" builtinId="8" hidden="1"/>
    <cellStyle name="하이퍼링크" xfId="3639" builtinId="8" hidden="1"/>
    <cellStyle name="하이퍼링크" xfId="3641" builtinId="8" hidden="1"/>
    <cellStyle name="하이퍼링크" xfId="3643" builtinId="8" hidden="1"/>
    <cellStyle name="하이퍼링크" xfId="3645" builtinId="8" hidden="1"/>
    <cellStyle name="하이퍼링크" xfId="3647" builtinId="8" hidden="1"/>
    <cellStyle name="하이퍼링크" xfId="3649" builtinId="8" hidden="1"/>
    <cellStyle name="하이퍼링크" xfId="3651" builtinId="8" hidden="1"/>
    <cellStyle name="하이퍼링크" xfId="3653" builtinId="8" hidden="1"/>
    <cellStyle name="하이퍼링크" xfId="3655" builtinId="8" hidden="1"/>
    <cellStyle name="하이퍼링크" xfId="3657" builtinId="8" hidden="1"/>
    <cellStyle name="하이퍼링크" xfId="3659" builtinId="8" hidden="1"/>
    <cellStyle name="하이퍼링크" xfId="3661" builtinId="8" hidden="1"/>
    <cellStyle name="하이퍼링크" xfId="3663" builtinId="8" hidden="1"/>
    <cellStyle name="하이퍼링크" xfId="3665" builtinId="8" hidden="1"/>
    <cellStyle name="하이퍼링크" xfId="3667" builtinId="8" hidden="1"/>
    <cellStyle name="하이퍼링크" xfId="3669" builtinId="8" hidden="1"/>
    <cellStyle name="하이퍼링크" xfId="3671" builtinId="8" hidden="1"/>
    <cellStyle name="하이퍼링크" xfId="3673" builtinId="8" hidden="1"/>
    <cellStyle name="하이퍼링크" xfId="3675" builtinId="8" hidden="1"/>
    <cellStyle name="하이퍼링크" xfId="3677" builtinId="8" hidden="1"/>
    <cellStyle name="하이퍼링크" xfId="3679" builtinId="8" hidden="1"/>
    <cellStyle name="하이퍼링크" xfId="3681" builtinId="8" hidden="1"/>
    <cellStyle name="하이퍼링크" xfId="3683" builtinId="8" hidden="1"/>
    <cellStyle name="하이퍼링크" xfId="3685" builtinId="8" hidden="1"/>
    <cellStyle name="하이퍼링크" xfId="3687" builtinId="8" hidden="1"/>
    <cellStyle name="하이퍼링크" xfId="3689" builtinId="8" hidden="1"/>
    <cellStyle name="하이퍼링크" xfId="3691" builtinId="8" hidden="1"/>
    <cellStyle name="하이퍼링크" xfId="3693" builtinId="8" hidden="1"/>
    <cellStyle name="하이퍼링크" xfId="3695" builtinId="8" hidden="1"/>
    <cellStyle name="하이퍼링크" xfId="3697" builtinId="8" hidden="1"/>
    <cellStyle name="하이퍼링크" xfId="3699" builtinId="8" hidden="1"/>
    <cellStyle name="하이퍼링크" xfId="3701" builtinId="8" hidden="1"/>
    <cellStyle name="하이퍼링크" xfId="3703" builtinId="8" hidden="1"/>
    <cellStyle name="하이퍼링크" xfId="3705" builtinId="8" hidden="1"/>
    <cellStyle name="하이퍼링크" xfId="3707" builtinId="8" hidden="1"/>
    <cellStyle name="하이퍼링크" xfId="3709" builtinId="8" hidden="1"/>
    <cellStyle name="하이퍼링크" xfId="3711" builtinId="8" hidden="1"/>
    <cellStyle name="하이퍼링크" xfId="3713" builtinId="8" hidden="1"/>
    <cellStyle name="하이퍼링크" xfId="3715" builtinId="8" hidden="1"/>
    <cellStyle name="하이퍼링크" xfId="3717" builtinId="8" hidden="1"/>
    <cellStyle name="하이퍼링크" xfId="3719" builtinId="8" hidden="1"/>
    <cellStyle name="하이퍼링크" xfId="3721" builtinId="8" hidden="1"/>
    <cellStyle name="하이퍼링크" xfId="3723" builtinId="8" hidden="1"/>
    <cellStyle name="하이퍼링크" xfId="3725" builtinId="8" hidden="1"/>
    <cellStyle name="하이퍼링크" xfId="3727" builtinId="8" hidden="1"/>
    <cellStyle name="하이퍼링크" xfId="3729" builtinId="8" hidden="1"/>
    <cellStyle name="하이퍼링크" xfId="3731" builtinId="8" hidden="1"/>
    <cellStyle name="하이퍼링크" xfId="3733" builtinId="8" hidden="1"/>
    <cellStyle name="하이퍼링크" xfId="3735" builtinId="8" hidden="1"/>
    <cellStyle name="하이퍼링크" xfId="3737" builtinId="8" hidden="1"/>
    <cellStyle name="하이퍼링크" xfId="3739" builtinId="8" hidden="1"/>
    <cellStyle name="하이퍼링크" xfId="3741" builtinId="8" hidden="1"/>
    <cellStyle name="하이퍼링크" xfId="3743" builtinId="8" hidden="1"/>
    <cellStyle name="하이퍼링크" xfId="3745" builtinId="8" hidden="1"/>
    <cellStyle name="하이퍼링크" xfId="3747" builtinId="8" hidden="1"/>
    <cellStyle name="하이퍼링크" xfId="3749" builtinId="8" hidden="1"/>
    <cellStyle name="하이퍼링크" xfId="3751" builtinId="8" hidden="1"/>
    <cellStyle name="하이퍼링크" xfId="3753" builtinId="8" hidden="1"/>
    <cellStyle name="하이퍼링크" xfId="3755" builtinId="8" hidden="1"/>
    <cellStyle name="하이퍼링크" xfId="3757" builtinId="8" hidden="1"/>
    <cellStyle name="하이퍼링크" xfId="3759" builtinId="8" hidden="1"/>
    <cellStyle name="하이퍼링크" xfId="3761" builtinId="8" hidden="1"/>
    <cellStyle name="하이퍼링크" xfId="3763" builtinId="8" hidden="1"/>
    <cellStyle name="하이퍼링크" xfId="3765" builtinId="8" hidden="1"/>
    <cellStyle name="하이퍼링크" xfId="3767" builtinId="8" hidden="1"/>
    <cellStyle name="하이퍼링크" xfId="3769" builtinId="8" hidden="1"/>
    <cellStyle name="하이퍼링크" xfId="3771" builtinId="8" hidden="1"/>
    <cellStyle name="하이퍼링크" xfId="3773" builtinId="8" hidden="1"/>
    <cellStyle name="하이퍼링크" xfId="3775" builtinId="8" hidden="1"/>
    <cellStyle name="하이퍼링크" xfId="3777" builtinId="8" hidden="1"/>
    <cellStyle name="하이퍼링크" xfId="3779" builtinId="8" hidden="1"/>
    <cellStyle name="하이퍼링크" xfId="3781" builtinId="8" hidden="1"/>
    <cellStyle name="하이퍼링크" xfId="3783" builtinId="8" hidden="1"/>
    <cellStyle name="하이퍼링크" xfId="3785" builtinId="8" hidden="1"/>
    <cellStyle name="하이퍼링크" xfId="3787" builtinId="8" hidden="1"/>
    <cellStyle name="하이퍼링크" xfId="3789" builtinId="8" hidden="1"/>
    <cellStyle name="하이퍼링크" xfId="3791" builtinId="8" hidden="1"/>
    <cellStyle name="하이퍼링크" xfId="3793" builtinId="8" hidden="1"/>
    <cellStyle name="하이퍼링크" xfId="3795" builtinId="8" hidden="1"/>
    <cellStyle name="하이퍼링크" xfId="3797" builtinId="8" hidden="1"/>
    <cellStyle name="하이퍼링크" xfId="3799" builtinId="8" hidden="1"/>
    <cellStyle name="하이퍼링크" xfId="3801" builtinId="8" hidden="1"/>
    <cellStyle name="하이퍼링크" xfId="3803" builtinId="8" hidden="1"/>
    <cellStyle name="하이퍼링크" xfId="3805" builtinId="8" hidden="1"/>
    <cellStyle name="하이퍼링크" xfId="3807" builtinId="8" hidden="1"/>
    <cellStyle name="하이퍼링크" xfId="3809" builtinId="8" hidden="1"/>
    <cellStyle name="하이퍼링크" xfId="3811" builtinId="8" hidden="1"/>
    <cellStyle name="하이퍼링크" xfId="3813" builtinId="8" hidden="1"/>
    <cellStyle name="하이퍼링크" xfId="3815" builtinId="8" hidden="1"/>
    <cellStyle name="하이퍼링크" xfId="3817" builtinId="8" hidden="1"/>
    <cellStyle name="하이퍼링크" xfId="3819" builtinId="8" hidden="1"/>
    <cellStyle name="하이퍼링크" xfId="3821" builtinId="8" hidden="1"/>
    <cellStyle name="하이퍼링크" xfId="3823" builtinId="8" hidden="1"/>
    <cellStyle name="하이퍼링크" xfId="3825" builtinId="8" hidden="1"/>
    <cellStyle name="하이퍼링크" xfId="3827" builtinId="8" hidden="1"/>
    <cellStyle name="하이퍼링크" xfId="3829" builtinId="8" hidden="1"/>
    <cellStyle name="하이퍼링크" xfId="3831" builtinId="8" hidden="1"/>
    <cellStyle name="하이퍼링크" xfId="3833" builtinId="8" hidden="1"/>
    <cellStyle name="하이퍼링크" xfId="3835" builtinId="8" hidden="1"/>
    <cellStyle name="하이퍼링크" xfId="3837" builtinId="8" hidden="1"/>
    <cellStyle name="하이퍼링크" xfId="3839" builtinId="8" hidden="1"/>
    <cellStyle name="하이퍼링크" xfId="3841" builtinId="8" hidden="1"/>
    <cellStyle name="하이퍼링크" xfId="3843" builtinId="8" hidden="1"/>
    <cellStyle name="하이퍼링크" xfId="3845" builtinId="8" hidden="1"/>
    <cellStyle name="하이퍼링크" xfId="3847" builtinId="8" hidden="1"/>
    <cellStyle name="하이퍼링크" xfId="3849" builtinId="8" hidden="1"/>
    <cellStyle name="하이퍼링크" xfId="3851" builtinId="8" hidden="1"/>
    <cellStyle name="하이퍼링크" xfId="3853" builtinId="8" hidden="1"/>
    <cellStyle name="하이퍼링크" xfId="3855" builtinId="8" hidden="1"/>
    <cellStyle name="하이퍼링크" xfId="3857" builtinId="8" hidden="1"/>
    <cellStyle name="하이퍼링크" xfId="3859" builtinId="8" hidden="1"/>
    <cellStyle name="하이퍼링크" xfId="3861" builtinId="8" hidden="1"/>
    <cellStyle name="하이퍼링크" xfId="3863" builtinId="8" hidden="1"/>
    <cellStyle name="하이퍼링크" xfId="3865" builtinId="8" hidden="1"/>
    <cellStyle name="하이퍼링크" xfId="3867" builtinId="8" hidden="1"/>
    <cellStyle name="하이퍼링크" xfId="3869" builtinId="8" hidden="1"/>
    <cellStyle name="하이퍼링크" xfId="3871" builtinId="8" hidden="1"/>
    <cellStyle name="하이퍼링크" xfId="3873" builtinId="8" hidden="1"/>
    <cellStyle name="하이퍼링크" xfId="3875" builtinId="8" hidden="1"/>
    <cellStyle name="하이퍼링크" xfId="3877" builtinId="8" hidden="1"/>
    <cellStyle name="하이퍼링크" xfId="3879" builtinId="8" hidden="1"/>
    <cellStyle name="하이퍼링크" xfId="3881" builtinId="8" hidden="1"/>
    <cellStyle name="하이퍼링크" xfId="3883" builtinId="8" hidden="1"/>
    <cellStyle name="하이퍼링크" xfId="3885" builtinId="8" hidden="1"/>
    <cellStyle name="하이퍼링크" xfId="3887" builtinId="8" hidden="1"/>
    <cellStyle name="하이퍼링크" xfId="3889" builtinId="8" hidden="1"/>
    <cellStyle name="하이퍼링크" xfId="3891" builtinId="8" hidden="1"/>
    <cellStyle name="하이퍼링크" xfId="3893" builtinId="8" hidden="1"/>
    <cellStyle name="하이퍼링크" xfId="3895" builtinId="8" hidden="1"/>
    <cellStyle name="하이퍼링크" xfId="3897" builtinId="8" hidden="1"/>
    <cellStyle name="하이퍼링크" xfId="3899" builtinId="8" hidden="1"/>
    <cellStyle name="하이퍼링크" xfId="3901" builtinId="8" hidden="1"/>
    <cellStyle name="하이퍼링크" xfId="3903" builtinId="8" hidden="1"/>
    <cellStyle name="하이퍼링크" xfId="3905" builtinId="8" hidden="1"/>
    <cellStyle name="하이퍼링크" xfId="3907" builtinId="8" hidden="1"/>
    <cellStyle name="하이퍼링크" xfId="3909" builtinId="8" hidden="1"/>
    <cellStyle name="하이퍼링크" xfId="3911" builtinId="8" hidden="1"/>
    <cellStyle name="하이퍼링크" xfId="3913" builtinId="8" hidden="1"/>
    <cellStyle name="하이퍼링크" xfId="3915" builtinId="8" hidden="1"/>
    <cellStyle name="하이퍼링크" xfId="3917" builtinId="8" hidden="1"/>
    <cellStyle name="하이퍼링크" xfId="3919" builtinId="8" hidden="1"/>
    <cellStyle name="하이퍼링크" xfId="3921" builtinId="8" hidden="1"/>
    <cellStyle name="하이퍼링크" xfId="3923" builtinId="8" hidden="1"/>
    <cellStyle name="하이퍼링크" xfId="3925" builtinId="8" hidden="1"/>
    <cellStyle name="하이퍼링크" xfId="3927" builtinId="8" hidden="1"/>
    <cellStyle name="하이퍼링크" xfId="3929" builtinId="8" hidden="1"/>
    <cellStyle name="하이퍼링크" xfId="3931" builtinId="8" hidden="1"/>
    <cellStyle name="하이퍼링크" xfId="3933" builtinId="8" hidden="1"/>
    <cellStyle name="하이퍼링크" xfId="3935" builtinId="8" hidden="1"/>
    <cellStyle name="하이퍼링크" xfId="3937" builtinId="8" hidden="1"/>
    <cellStyle name="하이퍼링크" xfId="3939" builtinId="8" hidden="1"/>
    <cellStyle name="하이퍼링크" xfId="3941" builtinId="8" hidden="1"/>
    <cellStyle name="하이퍼링크" xfId="3943" builtinId="8" hidden="1"/>
    <cellStyle name="하이퍼링크" xfId="3945" builtinId="8" hidden="1"/>
    <cellStyle name="하이퍼링크" xfId="3947" builtinId="8" hidden="1"/>
    <cellStyle name="하이퍼링크" xfId="3949" builtinId="8" hidden="1"/>
    <cellStyle name="하이퍼링크" xfId="3951" builtinId="8" hidden="1"/>
    <cellStyle name="하이퍼링크" xfId="3953" builtinId="8" hidden="1"/>
    <cellStyle name="하이퍼링크" xfId="3955" builtinId="8" hidden="1"/>
    <cellStyle name="하이퍼링크" xfId="3957" builtinId="8" hidden="1"/>
    <cellStyle name="하이퍼링크" xfId="3959" builtinId="8" hidden="1"/>
    <cellStyle name="하이퍼링크" xfId="3961" builtinId="8" hidden="1"/>
    <cellStyle name="하이퍼링크" xfId="3963" builtinId="8" hidden="1"/>
    <cellStyle name="하이퍼링크" xfId="3965" builtinId="8" hidden="1"/>
    <cellStyle name="하이퍼링크" xfId="3967" builtinId="8" hidden="1"/>
    <cellStyle name="하이퍼링크" xfId="3969" builtinId="8" hidden="1"/>
    <cellStyle name="하이퍼링크" xfId="3971" builtinId="8" hidden="1"/>
    <cellStyle name="하이퍼링크" xfId="3973" builtinId="8" hidden="1"/>
    <cellStyle name="하이퍼링크" xfId="3975" builtinId="8" hidden="1"/>
    <cellStyle name="하이퍼링크" xfId="3977" builtinId="8" hidden="1"/>
    <cellStyle name="하이퍼링크" xfId="3979" builtinId="8" hidden="1"/>
    <cellStyle name="하이퍼링크" xfId="3981" builtinId="8" hidden="1"/>
    <cellStyle name="하이퍼링크" xfId="3983" builtinId="8" hidden="1"/>
    <cellStyle name="하이퍼링크" xfId="3985" builtinId="8" hidden="1"/>
    <cellStyle name="하이퍼링크" xfId="3987" builtinId="8" hidden="1"/>
    <cellStyle name="하이퍼링크" xfId="3989" builtinId="8" hidden="1"/>
    <cellStyle name="하이퍼링크" xfId="3991" builtinId="8" hidden="1"/>
    <cellStyle name="하이퍼링크" xfId="3993" builtinId="8" hidden="1"/>
    <cellStyle name="하이퍼링크" xfId="3995" builtinId="8" hidden="1"/>
    <cellStyle name="하이퍼링크" xfId="3997" builtinId="8" hidden="1"/>
    <cellStyle name="하이퍼링크" xfId="3999" builtinId="8" hidden="1"/>
    <cellStyle name="하이퍼링크" xfId="4001" builtinId="8" hidden="1"/>
    <cellStyle name="하이퍼링크" xfId="4003" builtinId="8" hidden="1"/>
    <cellStyle name="하이퍼링크" xfId="4005" builtinId="8" hidden="1"/>
    <cellStyle name="하이퍼링크" xfId="4007" builtinId="8" hidden="1"/>
    <cellStyle name="하이퍼링크" xfId="4009" builtinId="8" hidden="1"/>
    <cellStyle name="하이퍼링크" xfId="4011" builtinId="8" hidden="1"/>
    <cellStyle name="하이퍼링크" xfId="4013" builtinId="8" hidden="1"/>
    <cellStyle name="하이퍼링크" xfId="4015" builtinId="8" hidden="1"/>
    <cellStyle name="하이퍼링크" xfId="4017" builtinId="8" hidden="1"/>
    <cellStyle name="하이퍼링크" xfId="4019" builtinId="8" hidden="1"/>
    <cellStyle name="하이퍼링크" xfId="4021" builtinId="8" hidden="1"/>
    <cellStyle name="하이퍼링크" xfId="4023" builtinId="8" hidden="1"/>
    <cellStyle name="하이퍼링크" xfId="4025" builtinId="8" hidden="1"/>
    <cellStyle name="하이퍼링크" xfId="4027" builtinId="8" hidden="1"/>
    <cellStyle name="하이퍼링크" xfId="4029" builtinId="8" hidden="1"/>
    <cellStyle name="하이퍼링크" xfId="4031" builtinId="8" hidden="1"/>
    <cellStyle name="하이퍼링크" xfId="4033" builtinId="8" hidden="1"/>
    <cellStyle name="하이퍼링크" xfId="4035" builtinId="8" hidden="1"/>
    <cellStyle name="하이퍼링크" xfId="4037" builtinId="8" hidden="1"/>
    <cellStyle name="하이퍼링크" xfId="4039" builtinId="8" hidden="1"/>
    <cellStyle name="하이퍼링크" xfId="4041" builtinId="8" hidden="1"/>
    <cellStyle name="하이퍼링크" xfId="4043" builtinId="8" hidden="1"/>
    <cellStyle name="하이퍼링크" xfId="4045" builtinId="8" hidden="1"/>
    <cellStyle name="하이퍼링크" xfId="4047" builtinId="8" hidden="1"/>
    <cellStyle name="하이퍼링크" xfId="4049" builtinId="8" hidden="1"/>
    <cellStyle name="하이퍼링크" xfId="4051" builtinId="8" hidden="1"/>
    <cellStyle name="하이퍼링크" xfId="4053" builtinId="8" hidden="1"/>
    <cellStyle name="하이퍼링크" xfId="4055" builtinId="8" hidden="1"/>
    <cellStyle name="하이퍼링크" xfId="4057" builtinId="8" hidden="1"/>
    <cellStyle name="하이퍼링크" xfId="4059" builtinId="8" hidden="1"/>
    <cellStyle name="하이퍼링크" xfId="4061" builtinId="8" hidden="1"/>
    <cellStyle name="하이퍼링크" xfId="4063" builtinId="8" hidden="1"/>
    <cellStyle name="하이퍼링크" xfId="4065" builtinId="8" hidden="1"/>
    <cellStyle name="하이퍼링크" xfId="4067" builtinId="8" hidden="1"/>
    <cellStyle name="하이퍼링크" xfId="4069" builtinId="8" hidden="1"/>
    <cellStyle name="하이퍼링크" xfId="4071" builtinId="8" hidden="1"/>
    <cellStyle name="하이퍼링크" xfId="4073" builtinId="8" hidden="1"/>
    <cellStyle name="하이퍼링크" xfId="4075" builtinId="8" hidden="1"/>
    <cellStyle name="하이퍼링크" xfId="4077" builtinId="8" hidden="1"/>
    <cellStyle name="하이퍼링크" xfId="4079" builtinId="8" hidden="1"/>
    <cellStyle name="하이퍼링크" xfId="4081" builtinId="8" hidden="1"/>
    <cellStyle name="하이퍼링크" xfId="4083" builtinId="8" hidden="1"/>
    <cellStyle name="하이퍼링크" xfId="4085" builtinId="8" hidden="1"/>
    <cellStyle name="하이퍼링크" xfId="4087" builtinId="8" hidden="1"/>
    <cellStyle name="하이퍼링크" xfId="4089" builtinId="8" hidden="1"/>
    <cellStyle name="하이퍼링크" xfId="4091" builtinId="8" hidden="1"/>
    <cellStyle name="하이퍼링크" xfId="4093" builtinId="8" hidden="1"/>
    <cellStyle name="하이퍼링크" xfId="4095" builtinId="8" hidden="1"/>
    <cellStyle name="하이퍼링크" xfId="4097" builtinId="8" hidden="1"/>
    <cellStyle name="하이퍼링크" xfId="4099" builtinId="8" hidden="1"/>
    <cellStyle name="하이퍼링크" xfId="4101" builtinId="8" hidden="1"/>
    <cellStyle name="하이퍼링크" xfId="4103" builtinId="8" hidden="1"/>
    <cellStyle name="하이퍼링크" xfId="4105" builtinId="8" hidden="1"/>
    <cellStyle name="하이퍼링크" xfId="4107" builtinId="8" hidden="1"/>
    <cellStyle name="하이퍼링크" xfId="4109" builtinId="8" hidden="1"/>
    <cellStyle name="하이퍼링크" xfId="4111" builtinId="8" hidden="1"/>
    <cellStyle name="하이퍼링크" xfId="4113" builtinId="8" hidden="1"/>
    <cellStyle name="하이퍼링크" xfId="4115" builtinId="8" hidden="1"/>
    <cellStyle name="하이퍼링크" xfId="4117" builtinId="8" hidden="1"/>
    <cellStyle name="하이퍼링크" xfId="4119" builtinId="8" hidden="1"/>
    <cellStyle name="하이퍼링크" xfId="4121" builtinId="8" hidden="1"/>
    <cellStyle name="하이퍼링크" xfId="4123" builtinId="8" hidden="1"/>
    <cellStyle name="하이퍼링크" xfId="4125" builtinId="8" hidden="1"/>
    <cellStyle name="하이퍼링크" xfId="4127" builtinId="8" hidden="1"/>
    <cellStyle name="하이퍼링크" xfId="4129" builtinId="8" hidden="1"/>
    <cellStyle name="하이퍼링크" xfId="4131" builtinId="8" hidden="1"/>
    <cellStyle name="하이퍼링크" xfId="4133" builtinId="8" hidden="1"/>
    <cellStyle name="하이퍼링크" xfId="4135" builtinId="8" hidden="1"/>
    <cellStyle name="하이퍼링크" xfId="4137" builtinId="8" hidden="1"/>
    <cellStyle name="하이퍼링크" xfId="4139" builtinId="8" hidden="1"/>
    <cellStyle name="하이퍼링크" xfId="4141" builtinId="8" hidden="1"/>
    <cellStyle name="하이퍼링크" xfId="4143" builtinId="8" hidden="1"/>
    <cellStyle name="하이퍼링크" xfId="4145" builtinId="8" hidden="1"/>
    <cellStyle name="하이퍼링크" xfId="4147" builtinId="8" hidden="1"/>
    <cellStyle name="하이퍼링크" xfId="4149" builtinId="8" hidden="1"/>
    <cellStyle name="하이퍼링크" xfId="4151" builtinId="8" hidden="1"/>
    <cellStyle name="하이퍼링크" xfId="4153" builtinId="8" hidden="1"/>
    <cellStyle name="하이퍼링크" xfId="4155" builtinId="8" hidden="1"/>
    <cellStyle name="하이퍼링크" xfId="4157" builtinId="8" hidden="1"/>
    <cellStyle name="하이퍼링크" xfId="4159" builtinId="8" hidden="1"/>
    <cellStyle name="하이퍼링크" xfId="4161" builtinId="8" hidden="1"/>
    <cellStyle name="하이퍼링크" xfId="4163" builtinId="8" hidden="1"/>
    <cellStyle name="하이퍼링크" xfId="4165" builtinId="8" hidden="1"/>
    <cellStyle name="하이퍼링크" xfId="4167" builtinId="8" hidden="1"/>
    <cellStyle name="하이퍼링크" xfId="4169" builtinId="8" hidden="1"/>
    <cellStyle name="하이퍼링크" xfId="4171" builtinId="8" hidden="1"/>
    <cellStyle name="하이퍼링크" xfId="4173" builtinId="8" hidden="1"/>
    <cellStyle name="하이퍼링크" xfId="4175" builtinId="8" hidden="1"/>
    <cellStyle name="하이퍼링크" xfId="4177" builtinId="8" hidden="1"/>
    <cellStyle name="하이퍼링크" xfId="4179" builtinId="8" hidden="1"/>
    <cellStyle name="하이퍼링크" xfId="4181" builtinId="8" hidden="1"/>
    <cellStyle name="하이퍼링크" xfId="4183" builtinId="8" hidden="1"/>
    <cellStyle name="하이퍼링크" xfId="4185" builtinId="8" hidden="1"/>
    <cellStyle name="하이퍼링크" xfId="4187" builtinId="8" hidden="1"/>
    <cellStyle name="하이퍼링크" xfId="4189" builtinId="8" hidden="1"/>
    <cellStyle name="하이퍼링크" xfId="4191" builtinId="8" hidden="1"/>
    <cellStyle name="하이퍼링크" xfId="4193" builtinId="8" hidden="1"/>
    <cellStyle name="하이퍼링크" xfId="4195" builtinId="8" hidden="1"/>
    <cellStyle name="하이퍼링크" xfId="4197" builtinId="8" hidden="1"/>
    <cellStyle name="하이퍼링크" xfId="4199" builtinId="8" hidden="1"/>
    <cellStyle name="하이퍼링크" xfId="4201" builtinId="8" hidden="1"/>
    <cellStyle name="하이퍼링크" xfId="4203" builtinId="8" hidden="1"/>
    <cellStyle name="하이퍼링크" xfId="4205" builtinId="8" hidden="1"/>
    <cellStyle name="하이퍼링크" xfId="4207" builtinId="8" hidden="1"/>
    <cellStyle name="하이퍼링크" xfId="4209" builtinId="8" hidden="1"/>
    <cellStyle name="하이퍼링크" xfId="4211" builtinId="8" hidden="1"/>
    <cellStyle name="하이퍼링크" xfId="4213" builtinId="8" hidden="1"/>
    <cellStyle name="하이퍼링크" xfId="4215" builtinId="8" hidden="1"/>
    <cellStyle name="하이퍼링크" xfId="4217" builtinId="8" hidden="1"/>
    <cellStyle name="하이퍼링크" xfId="4219" builtinId="8" hidden="1"/>
    <cellStyle name="하이퍼링크" xfId="4221" builtinId="8" hidden="1"/>
    <cellStyle name="하이퍼링크" xfId="4223" builtinId="8" hidden="1"/>
    <cellStyle name="하이퍼링크" xfId="4225" builtinId="8" hidden="1"/>
    <cellStyle name="하이퍼링크" xfId="4227" builtinId="8" hidden="1"/>
    <cellStyle name="하이퍼링크" xfId="4229" builtinId="8" hidden="1"/>
    <cellStyle name="하이퍼링크" xfId="4231" builtinId="8" hidden="1"/>
    <cellStyle name="하이퍼링크" xfId="4233" builtinId="8" hidden="1"/>
    <cellStyle name="하이퍼링크" xfId="4235" builtinId="8" hidden="1"/>
    <cellStyle name="하이퍼링크" xfId="4237" builtinId="8" hidden="1"/>
    <cellStyle name="하이퍼링크" xfId="4239" builtinId="8" hidden="1"/>
    <cellStyle name="하이퍼링크" xfId="4241" builtinId="8" hidden="1"/>
    <cellStyle name="하이퍼링크" xfId="4243" builtinId="8" hidden="1"/>
    <cellStyle name="하이퍼링크" xfId="4245" builtinId="8" hidden="1"/>
    <cellStyle name="하이퍼링크" xfId="4247" builtinId="8" hidden="1"/>
    <cellStyle name="하이퍼링크" xfId="4249" builtinId="8" hidden="1"/>
    <cellStyle name="하이퍼링크" xfId="4251" builtinId="8" hidden="1"/>
    <cellStyle name="하이퍼링크" xfId="4253" builtinId="8" hidden="1"/>
    <cellStyle name="하이퍼링크" xfId="4255" builtinId="8" hidden="1"/>
    <cellStyle name="하이퍼링크" xfId="4257" builtinId="8" hidden="1"/>
    <cellStyle name="하이퍼링크" xfId="4259" builtinId="8" hidden="1"/>
    <cellStyle name="하이퍼링크" xfId="4261" builtinId="8" hidden="1"/>
    <cellStyle name="하이퍼링크" xfId="4263" builtinId="8" hidden="1"/>
    <cellStyle name="하이퍼링크" xfId="4265" builtinId="8" hidden="1"/>
    <cellStyle name="하이퍼링크" xfId="4267" builtinId="8" hidden="1"/>
    <cellStyle name="하이퍼링크" xfId="4269" builtinId="8" hidden="1"/>
    <cellStyle name="하이퍼링크" xfId="4271" builtinId="8" hidden="1"/>
    <cellStyle name="하이퍼링크" xfId="4273" builtinId="8" hidden="1"/>
    <cellStyle name="하이퍼링크" xfId="4275" builtinId="8" hidden="1"/>
    <cellStyle name="하이퍼링크" xfId="4277" builtinId="8" hidden="1"/>
    <cellStyle name="하이퍼링크" xfId="4279" builtinId="8" hidden="1"/>
    <cellStyle name="하이퍼링크" xfId="4281" builtinId="8" hidden="1"/>
    <cellStyle name="하이퍼링크" xfId="4283" builtinId="8" hidden="1"/>
    <cellStyle name="하이퍼링크" xfId="4285" builtinId="8" hidden="1"/>
    <cellStyle name="하이퍼링크" xfId="4287" builtinId="8" hidden="1"/>
    <cellStyle name="하이퍼링크" xfId="4289" builtinId="8" hidden="1"/>
    <cellStyle name="하이퍼링크" xfId="4291" builtinId="8" hidden="1"/>
    <cellStyle name="하이퍼링크" xfId="4293" builtinId="8" hidden="1"/>
    <cellStyle name="하이퍼링크" xfId="4295" builtinId="8" hidden="1"/>
    <cellStyle name="하이퍼링크" xfId="4297" builtinId="8" hidden="1"/>
    <cellStyle name="하이퍼링크" xfId="4299" builtinId="8" hidden="1"/>
    <cellStyle name="하이퍼링크" xfId="4301" builtinId="8" hidden="1"/>
    <cellStyle name="하이퍼링크" xfId="4303" builtinId="8" hidden="1"/>
    <cellStyle name="하이퍼링크" xfId="4305" builtinId="8" hidden="1"/>
    <cellStyle name="하이퍼링크" xfId="4307" builtinId="8" hidden="1"/>
    <cellStyle name="하이퍼링크" xfId="4309" builtinId="8" hidden="1"/>
    <cellStyle name="하이퍼링크" xfId="4311" builtinId="8" hidden="1"/>
    <cellStyle name="하이퍼링크" xfId="4313" builtinId="8" hidden="1"/>
    <cellStyle name="하이퍼링크" xfId="4315" builtinId="8" hidden="1"/>
    <cellStyle name="하이퍼링크" xfId="4317" builtinId="8" hidden="1"/>
    <cellStyle name="하이퍼링크" xfId="4319" builtinId="8" hidden="1"/>
    <cellStyle name="하이퍼링크" xfId="4321" builtinId="8" hidden="1"/>
    <cellStyle name="하이퍼링크" xfId="4323" builtinId="8" hidden="1"/>
    <cellStyle name="하이퍼링크" xfId="4325" builtinId="8" hidden="1"/>
    <cellStyle name="하이퍼링크" xfId="4327" builtinId="8" hidden="1"/>
    <cellStyle name="하이퍼링크" xfId="4329" builtinId="8" hidden="1"/>
    <cellStyle name="하이퍼링크" xfId="4331" builtinId="8" hidden="1"/>
    <cellStyle name="하이퍼링크" xfId="4333" builtinId="8" hidden="1"/>
    <cellStyle name="하이퍼링크" xfId="4335" builtinId="8" hidden="1"/>
    <cellStyle name="하이퍼링크" xfId="4337" builtinId="8" hidden="1"/>
    <cellStyle name="하이퍼링크" xfId="4339" builtinId="8" hidden="1"/>
    <cellStyle name="하이퍼링크" xfId="4341" builtinId="8" hidden="1"/>
    <cellStyle name="하이퍼링크" xfId="4343" builtinId="8" hidden="1"/>
    <cellStyle name="하이퍼링크" xfId="4345" builtinId="8" hidden="1"/>
    <cellStyle name="하이퍼링크" xfId="4347" builtinId="8" hidden="1"/>
    <cellStyle name="하이퍼링크" xfId="4349" builtinId="8" hidden="1"/>
    <cellStyle name="하이퍼링크" xfId="4351" builtinId="8" hidden="1"/>
    <cellStyle name="하이퍼링크" xfId="4353" builtinId="8" hidden="1"/>
    <cellStyle name="하이퍼링크" xfId="4355" builtinId="8" hidden="1"/>
    <cellStyle name="하이퍼링크" xfId="4357" builtinId="8" hidden="1"/>
    <cellStyle name="하이퍼링크" xfId="4359" builtinId="8" hidden="1"/>
    <cellStyle name="하이퍼링크" xfId="4361" builtinId="8" hidden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287204724409446"/>
                  <c:y val="-4.811898512685914E-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</c:trendlineLbl>
          </c:trendline>
          <c:xVal>
            <c:numRef>
              <c:f>Timeseries!$A$2:$A$37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numCache>
            </c:numRef>
          </c:xVal>
          <c:yVal>
            <c:numRef>
              <c:f>Timeseries!$B$2:$B$37</c:f>
              <c:numCache>
                <c:formatCode>General</c:formatCode>
                <c:ptCount val="36"/>
                <c:pt idx="0">
                  <c:v>165</c:v>
                </c:pt>
                <c:pt idx="1">
                  <c:v>171</c:v>
                </c:pt>
                <c:pt idx="2">
                  <c:v>147</c:v>
                </c:pt>
                <c:pt idx="3">
                  <c:v>143</c:v>
                </c:pt>
                <c:pt idx="4">
                  <c:v>164</c:v>
                </c:pt>
                <c:pt idx="5">
                  <c:v>160</c:v>
                </c:pt>
                <c:pt idx="6">
                  <c:v>152</c:v>
                </c:pt>
                <c:pt idx="7">
                  <c:v>150</c:v>
                </c:pt>
                <c:pt idx="8">
                  <c:v>159</c:v>
                </c:pt>
                <c:pt idx="9">
                  <c:v>169</c:v>
                </c:pt>
                <c:pt idx="10">
                  <c:v>173</c:v>
                </c:pt>
                <c:pt idx="11">
                  <c:v>203</c:v>
                </c:pt>
                <c:pt idx="12">
                  <c:v>169</c:v>
                </c:pt>
                <c:pt idx="13">
                  <c:v>166</c:v>
                </c:pt>
                <c:pt idx="14">
                  <c:v>162</c:v>
                </c:pt>
                <c:pt idx="15">
                  <c:v>147</c:v>
                </c:pt>
                <c:pt idx="16">
                  <c:v>188</c:v>
                </c:pt>
                <c:pt idx="17">
                  <c:v>161</c:v>
                </c:pt>
                <c:pt idx="18">
                  <c:v>162</c:v>
                </c:pt>
                <c:pt idx="19">
                  <c:v>169</c:v>
                </c:pt>
                <c:pt idx="20">
                  <c:v>185</c:v>
                </c:pt>
                <c:pt idx="21">
                  <c:v>188</c:v>
                </c:pt>
                <c:pt idx="22">
                  <c:v>200</c:v>
                </c:pt>
                <c:pt idx="23">
                  <c:v>229</c:v>
                </c:pt>
                <c:pt idx="24">
                  <c:v>189</c:v>
                </c:pt>
                <c:pt idx="25">
                  <c:v>218</c:v>
                </c:pt>
                <c:pt idx="26">
                  <c:v>185</c:v>
                </c:pt>
                <c:pt idx="27">
                  <c:v>199</c:v>
                </c:pt>
                <c:pt idx="28">
                  <c:v>210</c:v>
                </c:pt>
                <c:pt idx="29">
                  <c:v>193</c:v>
                </c:pt>
                <c:pt idx="30">
                  <c:v>211</c:v>
                </c:pt>
                <c:pt idx="31">
                  <c:v>208</c:v>
                </c:pt>
                <c:pt idx="32">
                  <c:v>216</c:v>
                </c:pt>
                <c:pt idx="33">
                  <c:v>218</c:v>
                </c:pt>
                <c:pt idx="34">
                  <c:v>264</c:v>
                </c:pt>
                <c:pt idx="35">
                  <c:v>304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723-4FB9-ACF2-B1628AD35E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306815"/>
        <c:axId val="1594302655"/>
      </c:scatterChart>
      <c:valAx>
        <c:axId val="15943068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94302655"/>
        <c:crosses val="autoZero"/>
        <c:crossBetween val="midCat"/>
      </c:valAx>
      <c:valAx>
        <c:axId val="1594302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943068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SES!$B$4</c:f>
              <c:strCache>
                <c:ptCount val="1"/>
                <c:pt idx="0">
                  <c:v>Demand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SES!$A$5:$A$53</c:f>
              <c:numCache>
                <c:formatCode>General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SES!$B$5:$B$53</c:f>
              <c:numCache>
                <c:formatCode>General</c:formatCode>
                <c:ptCount val="49"/>
                <c:pt idx="1">
                  <c:v>165</c:v>
                </c:pt>
                <c:pt idx="2">
                  <c:v>171</c:v>
                </c:pt>
                <c:pt idx="3">
                  <c:v>147</c:v>
                </c:pt>
                <c:pt idx="4">
                  <c:v>143</c:v>
                </c:pt>
                <c:pt idx="5">
                  <c:v>164</c:v>
                </c:pt>
                <c:pt idx="6">
                  <c:v>160</c:v>
                </c:pt>
                <c:pt idx="7">
                  <c:v>152</c:v>
                </c:pt>
                <c:pt idx="8">
                  <c:v>150</c:v>
                </c:pt>
                <c:pt idx="9">
                  <c:v>159</c:v>
                </c:pt>
                <c:pt idx="10">
                  <c:v>169</c:v>
                </c:pt>
                <c:pt idx="11">
                  <c:v>173</c:v>
                </c:pt>
                <c:pt idx="12">
                  <c:v>203</c:v>
                </c:pt>
                <c:pt idx="13">
                  <c:v>169</c:v>
                </c:pt>
                <c:pt idx="14">
                  <c:v>166</c:v>
                </c:pt>
                <c:pt idx="15">
                  <c:v>162</c:v>
                </c:pt>
                <c:pt idx="16">
                  <c:v>147</c:v>
                </c:pt>
                <c:pt idx="17">
                  <c:v>188</c:v>
                </c:pt>
                <c:pt idx="18">
                  <c:v>161</c:v>
                </c:pt>
                <c:pt idx="19">
                  <c:v>162</c:v>
                </c:pt>
                <c:pt idx="20">
                  <c:v>169</c:v>
                </c:pt>
                <c:pt idx="21">
                  <c:v>185</c:v>
                </c:pt>
                <c:pt idx="22">
                  <c:v>188</c:v>
                </c:pt>
                <c:pt idx="23">
                  <c:v>200</c:v>
                </c:pt>
                <c:pt idx="24">
                  <c:v>229</c:v>
                </c:pt>
                <c:pt idx="25">
                  <c:v>189</c:v>
                </c:pt>
                <c:pt idx="26">
                  <c:v>218</c:v>
                </c:pt>
                <c:pt idx="27">
                  <c:v>185</c:v>
                </c:pt>
                <c:pt idx="28">
                  <c:v>199</c:v>
                </c:pt>
                <c:pt idx="29">
                  <c:v>210</c:v>
                </c:pt>
                <c:pt idx="30">
                  <c:v>193</c:v>
                </c:pt>
                <c:pt idx="31">
                  <c:v>211</c:v>
                </c:pt>
                <c:pt idx="32">
                  <c:v>208</c:v>
                </c:pt>
                <c:pt idx="33">
                  <c:v>216</c:v>
                </c:pt>
                <c:pt idx="34">
                  <c:v>218</c:v>
                </c:pt>
                <c:pt idx="35">
                  <c:v>264</c:v>
                </c:pt>
                <c:pt idx="36">
                  <c:v>304</c:v>
                </c:pt>
                <c:pt idx="37">
                  <c:v>289.90104461990603</c:v>
                </c:pt>
                <c:pt idx="38">
                  <c:v>289.90104461990603</c:v>
                </c:pt>
                <c:pt idx="39">
                  <c:v>289.90104461990603</c:v>
                </c:pt>
                <c:pt idx="40">
                  <c:v>289.90104461990603</c:v>
                </c:pt>
                <c:pt idx="41">
                  <c:v>289.90104461990603</c:v>
                </c:pt>
                <c:pt idx="42">
                  <c:v>289.90104461990603</c:v>
                </c:pt>
                <c:pt idx="43">
                  <c:v>289.90104461990603</c:v>
                </c:pt>
                <c:pt idx="44">
                  <c:v>289.90104461990603</c:v>
                </c:pt>
                <c:pt idx="45">
                  <c:v>289.90104461990603</c:v>
                </c:pt>
                <c:pt idx="46">
                  <c:v>289.90104461990603</c:v>
                </c:pt>
                <c:pt idx="47">
                  <c:v>289.90104461990603</c:v>
                </c:pt>
                <c:pt idx="48">
                  <c:v>289.90104461990603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ED-4E18-9CF0-D8CA1D9D35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826495"/>
        <c:axId val="1592827743"/>
      </c:scatterChart>
      <c:valAx>
        <c:axId val="1592826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92827743"/>
        <c:crosses val="autoZero"/>
        <c:crossBetween val="midCat"/>
      </c:valAx>
      <c:valAx>
        <c:axId val="1592827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928264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3787204724409448"/>
                  <c:y val="-6.7107028288130643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</c:trendlineLbl>
          </c:trendline>
          <c:xVal>
            <c:numRef>
              <c:f>'Holt''sTrend-Corrected'!$A$6:$A$23</c:f>
              <c:numCache>
                <c:formatCode>General</c:formatCode>
                <c:ptCount val="1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</c:numCache>
            </c:numRef>
          </c:xVal>
          <c:yVal>
            <c:numRef>
              <c:f>'Holt''sTrend-Corrected'!$B$6:$B$23</c:f>
              <c:numCache>
                <c:formatCode>General</c:formatCode>
                <c:ptCount val="18"/>
                <c:pt idx="0">
                  <c:v>165</c:v>
                </c:pt>
                <c:pt idx="1">
                  <c:v>171</c:v>
                </c:pt>
                <c:pt idx="2">
                  <c:v>147</c:v>
                </c:pt>
                <c:pt idx="3">
                  <c:v>143</c:v>
                </c:pt>
                <c:pt idx="4">
                  <c:v>164</c:v>
                </c:pt>
                <c:pt idx="5">
                  <c:v>160</c:v>
                </c:pt>
                <c:pt idx="6">
                  <c:v>152</c:v>
                </c:pt>
                <c:pt idx="7">
                  <c:v>150</c:v>
                </c:pt>
                <c:pt idx="8">
                  <c:v>159</c:v>
                </c:pt>
                <c:pt idx="9">
                  <c:v>169</c:v>
                </c:pt>
                <c:pt idx="10">
                  <c:v>173</c:v>
                </c:pt>
                <c:pt idx="11">
                  <c:v>203</c:v>
                </c:pt>
                <c:pt idx="12">
                  <c:v>169</c:v>
                </c:pt>
                <c:pt idx="13">
                  <c:v>166</c:v>
                </c:pt>
                <c:pt idx="14">
                  <c:v>162</c:v>
                </c:pt>
                <c:pt idx="15">
                  <c:v>147</c:v>
                </c:pt>
                <c:pt idx="16">
                  <c:v>188</c:v>
                </c:pt>
                <c:pt idx="17">
                  <c:v>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CA-4018-931D-4C9FC09C1C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8125520"/>
        <c:axId val="1028128432"/>
      </c:scatterChart>
      <c:valAx>
        <c:axId val="1028125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28128432"/>
        <c:crosses val="autoZero"/>
        <c:crossBetween val="midCat"/>
      </c:valAx>
      <c:valAx>
        <c:axId val="1028128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28125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'Holt''sTrend-Corrected'!$B$4</c:f>
              <c:strCache>
                <c:ptCount val="1"/>
                <c:pt idx="0">
                  <c:v>Actual Demand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'Holt''sTrend-Corrected'!$A$5:$A$53</c:f>
              <c:numCache>
                <c:formatCode>General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cat>
          <c:val>
            <c:numRef>
              <c:f>'Holt''sTrend-Corrected'!$B$5:$B$53</c:f>
              <c:numCache>
                <c:formatCode>General</c:formatCode>
                <c:ptCount val="49"/>
                <c:pt idx="1">
                  <c:v>165</c:v>
                </c:pt>
                <c:pt idx="2">
                  <c:v>171</c:v>
                </c:pt>
                <c:pt idx="3">
                  <c:v>147</c:v>
                </c:pt>
                <c:pt idx="4">
                  <c:v>143</c:v>
                </c:pt>
                <c:pt idx="5">
                  <c:v>164</c:v>
                </c:pt>
                <c:pt idx="6">
                  <c:v>160</c:v>
                </c:pt>
                <c:pt idx="7">
                  <c:v>152</c:v>
                </c:pt>
                <c:pt idx="8">
                  <c:v>150</c:v>
                </c:pt>
                <c:pt idx="9">
                  <c:v>159</c:v>
                </c:pt>
                <c:pt idx="10">
                  <c:v>169</c:v>
                </c:pt>
                <c:pt idx="11">
                  <c:v>173</c:v>
                </c:pt>
                <c:pt idx="12">
                  <c:v>203</c:v>
                </c:pt>
                <c:pt idx="13">
                  <c:v>169</c:v>
                </c:pt>
                <c:pt idx="14">
                  <c:v>166</c:v>
                </c:pt>
                <c:pt idx="15">
                  <c:v>162</c:v>
                </c:pt>
                <c:pt idx="16">
                  <c:v>147</c:v>
                </c:pt>
                <c:pt idx="17">
                  <c:v>188</c:v>
                </c:pt>
                <c:pt idx="18">
                  <c:v>161</c:v>
                </c:pt>
                <c:pt idx="19">
                  <c:v>162</c:v>
                </c:pt>
                <c:pt idx="20">
                  <c:v>169</c:v>
                </c:pt>
                <c:pt idx="21">
                  <c:v>185</c:v>
                </c:pt>
                <c:pt idx="22">
                  <c:v>188</c:v>
                </c:pt>
                <c:pt idx="23">
                  <c:v>200</c:v>
                </c:pt>
                <c:pt idx="24">
                  <c:v>229</c:v>
                </c:pt>
                <c:pt idx="25">
                  <c:v>189</c:v>
                </c:pt>
                <c:pt idx="26">
                  <c:v>218</c:v>
                </c:pt>
                <c:pt idx="27">
                  <c:v>185</c:v>
                </c:pt>
                <c:pt idx="28">
                  <c:v>199</c:v>
                </c:pt>
                <c:pt idx="29">
                  <c:v>210</c:v>
                </c:pt>
                <c:pt idx="30">
                  <c:v>193</c:v>
                </c:pt>
                <c:pt idx="31">
                  <c:v>211</c:v>
                </c:pt>
                <c:pt idx="32">
                  <c:v>208</c:v>
                </c:pt>
                <c:pt idx="33">
                  <c:v>216</c:v>
                </c:pt>
                <c:pt idx="34">
                  <c:v>218</c:v>
                </c:pt>
                <c:pt idx="35">
                  <c:v>264</c:v>
                </c:pt>
                <c:pt idx="36">
                  <c:v>304</c:v>
                </c:pt>
                <c:pt idx="37">
                  <c:v>329.37056873362121</c:v>
                </c:pt>
                <c:pt idx="38">
                  <c:v>357.29049761114157</c:v>
                </c:pt>
                <c:pt idx="39">
                  <c:v>385.21042648866188</c:v>
                </c:pt>
                <c:pt idx="40">
                  <c:v>413.13035536618224</c:v>
                </c:pt>
                <c:pt idx="41">
                  <c:v>441.05028424370255</c:v>
                </c:pt>
                <c:pt idx="42">
                  <c:v>468.97021312122286</c:v>
                </c:pt>
                <c:pt idx="43">
                  <c:v>496.89014199874316</c:v>
                </c:pt>
                <c:pt idx="44">
                  <c:v>524.81007087626358</c:v>
                </c:pt>
                <c:pt idx="45">
                  <c:v>552.72999975378389</c:v>
                </c:pt>
                <c:pt idx="46">
                  <c:v>580.64992863130419</c:v>
                </c:pt>
                <c:pt idx="47">
                  <c:v>608.5698575088245</c:v>
                </c:pt>
                <c:pt idx="48">
                  <c:v>636.4897863863448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C7-4244-9D99-19A34ECCE8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4860096"/>
        <c:axId val="1044865920"/>
      </c:lineChart>
      <c:catAx>
        <c:axId val="104486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44865920"/>
        <c:crosses val="autoZero"/>
        <c:auto val="1"/>
        <c:lblAlgn val="ctr"/>
        <c:lblOffset val="100"/>
        <c:noMultiLvlLbl val="0"/>
      </c:catAx>
      <c:valAx>
        <c:axId val="1044865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4486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'Holt''s Autocorrelation'!$D$40:$O$40</c:f>
              <c:numCache>
                <c:formatCode>General</c:formatCode>
                <c:ptCount val="12"/>
                <c:pt idx="0">
                  <c:v>-3.4763964576404377E-2</c:v>
                </c:pt>
                <c:pt idx="1">
                  <c:v>5.5244761280388625E-2</c:v>
                </c:pt>
                <c:pt idx="2">
                  <c:v>-1.6815262919750964E-2</c:v>
                </c:pt>
                <c:pt idx="3">
                  <c:v>-0.1630616480574614</c:v>
                </c:pt>
                <c:pt idx="4">
                  <c:v>0.11324371274190208</c:v>
                </c:pt>
                <c:pt idx="5">
                  <c:v>-0.17911302790588476</c:v>
                </c:pt>
                <c:pt idx="6">
                  <c:v>0.13130082325175554</c:v>
                </c:pt>
                <c:pt idx="7">
                  <c:v>-0.32138067029892509</c:v>
                </c:pt>
                <c:pt idx="8">
                  <c:v>-1.2297582828216972E-2</c:v>
                </c:pt>
                <c:pt idx="9">
                  <c:v>-0.10709387957162904</c:v>
                </c:pt>
                <c:pt idx="10">
                  <c:v>5.375608692278562E-2</c:v>
                </c:pt>
                <c:pt idx="11">
                  <c:v>0.40425867035010438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A3-4FAC-8A7A-3667AC975D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6534400"/>
        <c:axId val="806525664"/>
      </c:barChart>
      <c:catAx>
        <c:axId val="806534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06525664"/>
        <c:crosses val="autoZero"/>
        <c:auto val="1"/>
        <c:lblAlgn val="ctr"/>
        <c:lblOffset val="100"/>
        <c:noMultiLvlLbl val="0"/>
      </c:catAx>
      <c:valAx>
        <c:axId val="80652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06534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HoltWintersSeasonal!$B$4</c:f>
              <c:strCache>
                <c:ptCount val="1"/>
                <c:pt idx="0">
                  <c:v>Actual Demand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HoltWintersSeasonal!$A$17:$A$64</c:f>
              <c:numCache>
                <c:formatCode>General</c:formatCode>
                <c:ptCount val="4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</c:numCache>
            </c:numRef>
          </c:cat>
          <c:val>
            <c:numRef>
              <c:f>HoltWintersSeasonal!$B$17:$B$64</c:f>
              <c:numCache>
                <c:formatCode>General</c:formatCode>
                <c:ptCount val="48"/>
                <c:pt idx="0">
                  <c:v>165</c:v>
                </c:pt>
                <c:pt idx="1">
                  <c:v>171</c:v>
                </c:pt>
                <c:pt idx="2">
                  <c:v>147</c:v>
                </c:pt>
                <c:pt idx="3">
                  <c:v>143</c:v>
                </c:pt>
                <c:pt idx="4">
                  <c:v>164</c:v>
                </c:pt>
                <c:pt idx="5">
                  <c:v>160</c:v>
                </c:pt>
                <c:pt idx="6">
                  <c:v>152</c:v>
                </c:pt>
                <c:pt idx="7">
                  <c:v>150</c:v>
                </c:pt>
                <c:pt idx="8">
                  <c:v>159</c:v>
                </c:pt>
                <c:pt idx="9">
                  <c:v>169</c:v>
                </c:pt>
                <c:pt idx="10">
                  <c:v>173</c:v>
                </c:pt>
                <c:pt idx="11">
                  <c:v>203</c:v>
                </c:pt>
                <c:pt idx="12">
                  <c:v>169</c:v>
                </c:pt>
                <c:pt idx="13">
                  <c:v>166</c:v>
                </c:pt>
                <c:pt idx="14">
                  <c:v>162</c:v>
                </c:pt>
                <c:pt idx="15">
                  <c:v>147</c:v>
                </c:pt>
                <c:pt idx="16">
                  <c:v>188</c:v>
                </c:pt>
                <c:pt idx="17">
                  <c:v>161</c:v>
                </c:pt>
                <c:pt idx="18">
                  <c:v>162</c:v>
                </c:pt>
                <c:pt idx="19">
                  <c:v>169</c:v>
                </c:pt>
                <c:pt idx="20">
                  <c:v>185</c:v>
                </c:pt>
                <c:pt idx="21">
                  <c:v>188</c:v>
                </c:pt>
                <c:pt idx="22">
                  <c:v>200</c:v>
                </c:pt>
                <c:pt idx="23">
                  <c:v>229</c:v>
                </c:pt>
                <c:pt idx="24">
                  <c:v>189</c:v>
                </c:pt>
                <c:pt idx="25">
                  <c:v>218</c:v>
                </c:pt>
                <c:pt idx="26">
                  <c:v>185</c:v>
                </c:pt>
                <c:pt idx="27">
                  <c:v>199</c:v>
                </c:pt>
                <c:pt idx="28">
                  <c:v>210</c:v>
                </c:pt>
                <c:pt idx="29">
                  <c:v>193</c:v>
                </c:pt>
                <c:pt idx="30">
                  <c:v>211</c:v>
                </c:pt>
                <c:pt idx="31">
                  <c:v>208</c:v>
                </c:pt>
                <c:pt idx="32">
                  <c:v>216</c:v>
                </c:pt>
                <c:pt idx="33">
                  <c:v>218</c:v>
                </c:pt>
                <c:pt idx="34">
                  <c:v>264</c:v>
                </c:pt>
                <c:pt idx="35">
                  <c:v>304</c:v>
                </c:pt>
                <c:pt idx="36" formatCode="0.00">
                  <c:v>245.40522801940352</c:v>
                </c:pt>
                <c:pt idx="37" formatCode="0.00">
                  <c:v>263.54786237727723</c:v>
                </c:pt>
                <c:pt idx="38" formatCode="0.00">
                  <c:v>241.40502461916023</c:v>
                </c:pt>
                <c:pt idx="39" formatCode="0.00">
                  <c:v>240.90310758658225</c:v>
                </c:pt>
                <c:pt idx="40" formatCode="0.00">
                  <c:v>280.76917511210002</c:v>
                </c:pt>
                <c:pt idx="41" formatCode="0.00">
                  <c:v>248.73422629811765</c:v>
                </c:pt>
                <c:pt idx="42" formatCode="0.00">
                  <c:v>257.48742172623469</c:v>
                </c:pt>
                <c:pt idx="43" formatCode="0.00">
                  <c:v>263.93781446421087</c:v>
                </c:pt>
                <c:pt idx="44" formatCode="0.00">
                  <c:v>286.71669618185211</c:v>
                </c:pt>
                <c:pt idx="45" formatCode="0.00">
                  <c:v>300.05480707417939</c:v>
                </c:pt>
                <c:pt idx="46" formatCode="0.00">
                  <c:v>314.92616168763118</c:v>
                </c:pt>
                <c:pt idx="47" formatCode="0.00">
                  <c:v>368.06784242399135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3F-4D50-A11B-103CB7E320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28486672"/>
        <c:axId val="1828488336"/>
      </c:lineChart>
      <c:catAx>
        <c:axId val="1828486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488336"/>
        <c:crosses val="autoZero"/>
        <c:auto val="1"/>
        <c:lblAlgn val="ctr"/>
        <c:lblOffset val="100"/>
        <c:noMultiLvlLbl val="0"/>
      </c:catAx>
      <c:valAx>
        <c:axId val="1828488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486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'Hw Autocorrelation'!$D$40:$O$40</c:f>
              <c:numCache>
                <c:formatCode>General</c:formatCode>
                <c:ptCount val="12"/>
                <c:pt idx="0">
                  <c:v>2.8804017091243347E-2</c:v>
                </c:pt>
                <c:pt idx="1">
                  <c:v>-0.10800043247057889</c:v>
                </c:pt>
                <c:pt idx="2">
                  <c:v>-0.1295620916117903</c:v>
                </c:pt>
                <c:pt idx="3">
                  <c:v>0.1485770837818792</c:v>
                </c:pt>
                <c:pt idx="4">
                  <c:v>0.27866385434775948</c:v>
                </c:pt>
                <c:pt idx="5">
                  <c:v>-0.14486087282856375</c:v>
                </c:pt>
                <c:pt idx="6">
                  <c:v>-5.8150377127060157E-2</c:v>
                </c:pt>
                <c:pt idx="7">
                  <c:v>-0.13229778550758023</c:v>
                </c:pt>
                <c:pt idx="8">
                  <c:v>9.6776239889726154E-2</c:v>
                </c:pt>
                <c:pt idx="9">
                  <c:v>-6.3367003956865481E-2</c:v>
                </c:pt>
                <c:pt idx="10">
                  <c:v>8.5037055763939995E-2</c:v>
                </c:pt>
                <c:pt idx="11">
                  <c:v>-0.19772715993189954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A7-4577-AB6C-FB60581432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6534400"/>
        <c:axId val="806525664"/>
      </c:barChart>
      <c:catAx>
        <c:axId val="806534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06525664"/>
        <c:crosses val="autoZero"/>
        <c:auto val="1"/>
        <c:lblAlgn val="ctr"/>
        <c:lblOffset val="100"/>
        <c:noMultiLvlLbl val="0"/>
      </c:catAx>
      <c:valAx>
        <c:axId val="80652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06534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383071</xdr:colOff>
      <xdr:row>0</xdr:row>
      <xdr:rowOff>231085</xdr:rowOff>
    </xdr:from>
    <xdr:to>
      <xdr:col>7</xdr:col>
      <xdr:colOff>233984</xdr:colOff>
      <xdr:row>18</xdr:row>
      <xdr:rowOff>125068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21827</xdr:colOff>
      <xdr:row>0</xdr:row>
      <xdr:rowOff>119068</xdr:rowOff>
    </xdr:from>
    <xdr:to>
      <xdr:col>12</xdr:col>
      <xdr:colOff>21827</xdr:colOff>
      <xdr:row>9</xdr:row>
      <xdr:rowOff>199236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116681</xdr:colOff>
      <xdr:row>8</xdr:row>
      <xdr:rowOff>133350</xdr:rowOff>
    </xdr:from>
    <xdr:to>
      <xdr:col>11</xdr:col>
      <xdr:colOff>916781</xdr:colOff>
      <xdr:row>19</xdr:row>
      <xdr:rowOff>204787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45243</xdr:colOff>
      <xdr:row>0</xdr:row>
      <xdr:rowOff>166694</xdr:rowOff>
    </xdr:from>
    <xdr:to>
      <xdr:col>11</xdr:col>
      <xdr:colOff>845343</xdr:colOff>
      <xdr:row>7</xdr:row>
      <xdr:rowOff>238131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645318</xdr:colOff>
      <xdr:row>42</xdr:row>
      <xdr:rowOff>152399</xdr:rowOff>
    </xdr:from>
    <xdr:to>
      <xdr:col>11</xdr:col>
      <xdr:colOff>645318</xdr:colOff>
      <xdr:row>53</xdr:row>
      <xdr:rowOff>223836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145256</xdr:colOff>
      <xdr:row>0</xdr:row>
      <xdr:rowOff>71444</xdr:rowOff>
    </xdr:from>
    <xdr:to>
      <xdr:col>13</xdr:col>
      <xdr:colOff>2381</xdr:colOff>
      <xdr:row>7</xdr:row>
      <xdr:rowOff>142881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645318</xdr:colOff>
      <xdr:row>42</xdr:row>
      <xdr:rowOff>152399</xdr:rowOff>
    </xdr:from>
    <xdr:to>
      <xdr:col>11</xdr:col>
      <xdr:colOff>645318</xdr:colOff>
      <xdr:row>53</xdr:row>
      <xdr:rowOff>223836</xdr:rowOff>
    </xdr:to>
    <xdr:graphicFrame macro="">
      <xdr:nvGraphicFramePr>
        <xdr:cNvPr id="2" name="차트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42"/>
  <sheetViews>
    <sheetView topLeftCell="A17" zoomScale="115" zoomScaleNormal="115" zoomScalePageLayoutView="150" workbookViewId="0">
      <selection activeCell="B41" sqref="B41"/>
    </sheetView>
  </sheetViews>
  <sheetFormatPr defaultColWidth="11" defaultRowHeight="19.149999999999999" x14ac:dyDescent="0.7"/>
  <cols>
    <col min="1" max="1" width="17.88671875" customWidth="1"/>
    <col min="2" max="2" width="12.21875" style="1" bestFit="1" customWidth="1"/>
  </cols>
  <sheetData>
    <row r="1" spans="1:2" x14ac:dyDescent="0.7">
      <c r="A1" s="2" t="s">
        <v>1</v>
      </c>
      <c r="B1" s="3" t="s">
        <v>0</v>
      </c>
    </row>
    <row r="2" spans="1:2" s="6" customFormat="1" ht="12" customHeight="1" x14ac:dyDescent="0.7">
      <c r="A2" s="4">
        <v>1</v>
      </c>
      <c r="B2" s="5">
        <v>165</v>
      </c>
    </row>
    <row r="3" spans="1:2" s="6" customFormat="1" ht="12" customHeight="1" x14ac:dyDescent="0.7">
      <c r="A3" s="4">
        <v>2</v>
      </c>
      <c r="B3" s="5">
        <v>171</v>
      </c>
    </row>
    <row r="4" spans="1:2" s="6" customFormat="1" ht="12" customHeight="1" x14ac:dyDescent="0.7">
      <c r="A4" s="4">
        <v>3</v>
      </c>
      <c r="B4" s="5">
        <v>147</v>
      </c>
    </row>
    <row r="5" spans="1:2" s="6" customFormat="1" ht="12" customHeight="1" x14ac:dyDescent="0.7">
      <c r="A5" s="4">
        <v>4</v>
      </c>
      <c r="B5" s="5">
        <v>143</v>
      </c>
    </row>
    <row r="6" spans="1:2" s="6" customFormat="1" ht="12" customHeight="1" x14ac:dyDescent="0.7">
      <c r="A6" s="4">
        <v>5</v>
      </c>
      <c r="B6" s="5">
        <v>164</v>
      </c>
    </row>
    <row r="7" spans="1:2" s="6" customFormat="1" ht="12" customHeight="1" x14ac:dyDescent="0.7">
      <c r="A7" s="4">
        <v>6</v>
      </c>
      <c r="B7" s="5">
        <v>160</v>
      </c>
    </row>
    <row r="8" spans="1:2" s="6" customFormat="1" ht="12" customHeight="1" x14ac:dyDescent="0.7">
      <c r="A8" s="4">
        <v>7</v>
      </c>
      <c r="B8" s="5">
        <v>152</v>
      </c>
    </row>
    <row r="9" spans="1:2" s="6" customFormat="1" ht="12" customHeight="1" x14ac:dyDescent="0.7">
      <c r="A9" s="4">
        <v>8</v>
      </c>
      <c r="B9" s="5">
        <v>150</v>
      </c>
    </row>
    <row r="10" spans="1:2" s="6" customFormat="1" ht="12" customHeight="1" x14ac:dyDescent="0.7">
      <c r="A10" s="4">
        <v>9</v>
      </c>
      <c r="B10" s="5">
        <v>159</v>
      </c>
    </row>
    <row r="11" spans="1:2" s="6" customFormat="1" ht="12" customHeight="1" x14ac:dyDescent="0.7">
      <c r="A11" s="4">
        <v>10</v>
      </c>
      <c r="B11" s="5">
        <v>169</v>
      </c>
    </row>
    <row r="12" spans="1:2" s="6" customFormat="1" ht="12" customHeight="1" x14ac:dyDescent="0.7">
      <c r="A12" s="4">
        <v>11</v>
      </c>
      <c r="B12" s="5">
        <v>173</v>
      </c>
    </row>
    <row r="13" spans="1:2" s="6" customFormat="1" ht="12" customHeight="1" x14ac:dyDescent="0.7">
      <c r="A13" s="4">
        <v>12</v>
      </c>
      <c r="B13" s="5">
        <v>203</v>
      </c>
    </row>
    <row r="14" spans="1:2" s="6" customFormat="1" ht="12" customHeight="1" x14ac:dyDescent="0.7">
      <c r="A14" s="4">
        <v>13</v>
      </c>
      <c r="B14" s="5">
        <v>169</v>
      </c>
    </row>
    <row r="15" spans="1:2" s="6" customFormat="1" ht="12" customHeight="1" x14ac:dyDescent="0.7">
      <c r="A15" s="4">
        <v>14</v>
      </c>
      <c r="B15" s="5">
        <v>166</v>
      </c>
    </row>
    <row r="16" spans="1:2" s="6" customFormat="1" ht="12" customHeight="1" x14ac:dyDescent="0.7">
      <c r="A16" s="4">
        <v>15</v>
      </c>
      <c r="B16" s="5">
        <v>162</v>
      </c>
    </row>
    <row r="17" spans="1:2" s="6" customFormat="1" ht="12" customHeight="1" x14ac:dyDescent="0.7">
      <c r="A17" s="4">
        <v>16</v>
      </c>
      <c r="B17" s="5">
        <v>147</v>
      </c>
    </row>
    <row r="18" spans="1:2" s="6" customFormat="1" ht="12" customHeight="1" x14ac:dyDescent="0.7">
      <c r="A18" s="4">
        <v>17</v>
      </c>
      <c r="B18" s="5">
        <v>188</v>
      </c>
    </row>
    <row r="19" spans="1:2" s="6" customFormat="1" ht="12" customHeight="1" x14ac:dyDescent="0.7">
      <c r="A19" s="4">
        <v>18</v>
      </c>
      <c r="B19" s="5">
        <v>161</v>
      </c>
    </row>
    <row r="20" spans="1:2" s="6" customFormat="1" ht="12" customHeight="1" x14ac:dyDescent="0.7">
      <c r="A20" s="4">
        <v>19</v>
      </c>
      <c r="B20" s="5">
        <v>162</v>
      </c>
    </row>
    <row r="21" spans="1:2" s="6" customFormat="1" ht="12" customHeight="1" x14ac:dyDescent="0.7">
      <c r="A21" s="4">
        <v>20</v>
      </c>
      <c r="B21" s="5">
        <v>169</v>
      </c>
    </row>
    <row r="22" spans="1:2" s="6" customFormat="1" ht="12" customHeight="1" x14ac:dyDescent="0.7">
      <c r="A22" s="4">
        <v>21</v>
      </c>
      <c r="B22" s="5">
        <v>185</v>
      </c>
    </row>
    <row r="23" spans="1:2" s="6" customFormat="1" ht="12" customHeight="1" x14ac:dyDescent="0.7">
      <c r="A23" s="4">
        <v>22</v>
      </c>
      <c r="B23" s="5">
        <v>188</v>
      </c>
    </row>
    <row r="24" spans="1:2" s="6" customFormat="1" ht="12" customHeight="1" x14ac:dyDescent="0.7">
      <c r="A24" s="4">
        <v>23</v>
      </c>
      <c r="B24" s="5">
        <v>200</v>
      </c>
    </row>
    <row r="25" spans="1:2" s="6" customFormat="1" ht="12" customHeight="1" x14ac:dyDescent="0.7">
      <c r="A25" s="4">
        <v>24</v>
      </c>
      <c r="B25" s="5">
        <v>229</v>
      </c>
    </row>
    <row r="26" spans="1:2" s="6" customFormat="1" ht="12" customHeight="1" x14ac:dyDescent="0.7">
      <c r="A26" s="4">
        <v>25</v>
      </c>
      <c r="B26" s="5">
        <v>189</v>
      </c>
    </row>
    <row r="27" spans="1:2" s="6" customFormat="1" ht="12" customHeight="1" x14ac:dyDescent="0.7">
      <c r="A27" s="4">
        <v>26</v>
      </c>
      <c r="B27" s="5">
        <v>218</v>
      </c>
    </row>
    <row r="28" spans="1:2" s="6" customFormat="1" ht="12" customHeight="1" x14ac:dyDescent="0.7">
      <c r="A28" s="4">
        <v>27</v>
      </c>
      <c r="B28" s="5">
        <v>185</v>
      </c>
    </row>
    <row r="29" spans="1:2" s="6" customFormat="1" ht="12" customHeight="1" x14ac:dyDescent="0.7">
      <c r="A29" s="4">
        <v>28</v>
      </c>
      <c r="B29" s="5">
        <v>199</v>
      </c>
    </row>
    <row r="30" spans="1:2" s="6" customFormat="1" ht="12" customHeight="1" x14ac:dyDescent="0.7">
      <c r="A30" s="4">
        <v>29</v>
      </c>
      <c r="B30" s="5">
        <v>210</v>
      </c>
    </row>
    <row r="31" spans="1:2" s="6" customFormat="1" ht="12" customHeight="1" x14ac:dyDescent="0.7">
      <c r="A31" s="4">
        <v>30</v>
      </c>
      <c r="B31" s="5">
        <v>193</v>
      </c>
    </row>
    <row r="32" spans="1:2" s="6" customFormat="1" ht="12" customHeight="1" x14ac:dyDescent="0.7">
      <c r="A32" s="4">
        <v>31</v>
      </c>
      <c r="B32" s="5">
        <v>211</v>
      </c>
    </row>
    <row r="33" spans="1:2" s="6" customFormat="1" ht="12" customHeight="1" x14ac:dyDescent="0.7">
      <c r="A33" s="4">
        <v>32</v>
      </c>
      <c r="B33" s="5">
        <v>208</v>
      </c>
    </row>
    <row r="34" spans="1:2" s="6" customFormat="1" ht="12" customHeight="1" x14ac:dyDescent="0.7">
      <c r="A34" s="4">
        <v>33</v>
      </c>
      <c r="B34" s="5">
        <v>216</v>
      </c>
    </row>
    <row r="35" spans="1:2" s="6" customFormat="1" ht="12" customHeight="1" x14ac:dyDescent="0.7">
      <c r="A35" s="4">
        <v>34</v>
      </c>
      <c r="B35" s="5">
        <v>218</v>
      </c>
    </row>
    <row r="36" spans="1:2" s="6" customFormat="1" ht="12" customHeight="1" x14ac:dyDescent="0.7">
      <c r="A36" s="4">
        <v>35</v>
      </c>
      <c r="B36" s="5">
        <v>264</v>
      </c>
    </row>
    <row r="37" spans="1:2" s="6" customFormat="1" ht="12" customHeight="1" x14ac:dyDescent="0.7">
      <c r="A37" s="7">
        <v>36</v>
      </c>
      <c r="B37" s="8">
        <v>304</v>
      </c>
    </row>
    <row r="39" spans="1:2" x14ac:dyDescent="0.7">
      <c r="A39" t="s">
        <v>25</v>
      </c>
      <c r="B39" s="1">
        <f>INDEX(LINEST(B2:B37,A2:A37,TRUE,TRUE),1,1)</f>
        <v>2.5386100386100385</v>
      </c>
    </row>
    <row r="40" spans="1:2" x14ac:dyDescent="0.7">
      <c r="A40" t="s">
        <v>26</v>
      </c>
      <c r="B40" s="1">
        <f>INDEX(LINEST(B2:B37,A2:A37,TRUE,TRUE),2,1)</f>
        <v>0.34018172051263179</v>
      </c>
    </row>
    <row r="41" spans="1:2" x14ac:dyDescent="0.7">
      <c r="A41" t="s">
        <v>27</v>
      </c>
      <c r="B41" s="1">
        <f>INDEX(LINEST(B2:B37,A2:A37,TRUE,TRUE),4,2)</f>
        <v>34</v>
      </c>
    </row>
    <row r="42" spans="1:2" x14ac:dyDescent="0.7">
      <c r="A42" t="s">
        <v>28</v>
      </c>
      <c r="B42" s="1">
        <f>TDIST(ABS(B39/B40),B41,2)</f>
        <v>1.1694156537818746E-8</v>
      </c>
    </row>
  </sheetData>
  <phoneticPr fontId="4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3"/>
  <sheetViews>
    <sheetView zoomScale="120" zoomScaleNormal="120" workbookViewId="0">
      <pane ySplit="4" topLeftCell="A5" activePane="bottomLeft" state="frozen"/>
      <selection pane="bottomLeft" activeCell="D3" sqref="D3"/>
    </sheetView>
  </sheetViews>
  <sheetFormatPr defaultRowHeight="19.149999999999999" x14ac:dyDescent="0.7"/>
  <cols>
    <col min="1" max="1" width="12.109375" bestFit="1" customWidth="1"/>
    <col min="2" max="2" width="10.6640625" customWidth="1"/>
    <col min="3" max="3" width="16.6640625" customWidth="1"/>
    <col min="6" max="6" width="10.88671875" customWidth="1"/>
  </cols>
  <sheetData>
    <row r="1" spans="1:6" ht="38.25" x14ac:dyDescent="0.7">
      <c r="A1" s="9" t="s">
        <v>2</v>
      </c>
      <c r="B1" s="9"/>
      <c r="C1" s="9" t="s">
        <v>3</v>
      </c>
      <c r="D1" s="9"/>
      <c r="E1" s="10" t="s">
        <v>4</v>
      </c>
      <c r="F1" s="10" t="s">
        <v>5</v>
      </c>
    </row>
    <row r="2" spans="1:6" x14ac:dyDescent="0.7">
      <c r="A2">
        <v>36</v>
      </c>
      <c r="C2" s="11">
        <v>0.73208959294345588</v>
      </c>
      <c r="E2" s="12">
        <f>SUM(F6:F41)</f>
        <v>14555.771064023318</v>
      </c>
      <c r="F2" s="12">
        <f>SQRT(E2/35)</f>
        <v>20.393115830049343</v>
      </c>
    </row>
    <row r="4" spans="1:6" ht="38.25" x14ac:dyDescent="0.7">
      <c r="A4" s="9" t="s">
        <v>1</v>
      </c>
      <c r="B4" s="9" t="s">
        <v>0</v>
      </c>
      <c r="C4" s="9" t="s">
        <v>6</v>
      </c>
      <c r="D4" s="9" t="s">
        <v>7</v>
      </c>
      <c r="E4" s="9" t="s">
        <v>8</v>
      </c>
      <c r="F4" s="9" t="s">
        <v>9</v>
      </c>
    </row>
    <row r="5" spans="1:6" x14ac:dyDescent="0.7">
      <c r="A5" s="13">
        <v>0</v>
      </c>
      <c r="B5" s="13"/>
      <c r="C5" s="13">
        <f>AVERAGE(B6:B17)</f>
        <v>163</v>
      </c>
      <c r="D5" s="13"/>
      <c r="E5" s="13"/>
      <c r="F5" s="13"/>
    </row>
    <row r="6" spans="1:6" x14ac:dyDescent="0.7">
      <c r="A6">
        <v>1</v>
      </c>
      <c r="B6">
        <v>165</v>
      </c>
      <c r="C6">
        <f>D6+$C$2*E6</f>
        <v>164.46417918588691</v>
      </c>
      <c r="D6">
        <f>C5</f>
        <v>163</v>
      </c>
      <c r="E6">
        <f>B6-D6</f>
        <v>2</v>
      </c>
      <c r="F6">
        <f>E6^2</f>
        <v>4</v>
      </c>
    </row>
    <row r="7" spans="1:6" x14ac:dyDescent="0.7">
      <c r="A7">
        <v>2</v>
      </c>
      <c r="B7">
        <v>171</v>
      </c>
      <c r="C7">
        <f t="shared" ref="C7:C41" si="0">D7+$C$2*E7</f>
        <v>169.24898558524234</v>
      </c>
      <c r="D7">
        <f t="shared" ref="D7:D41" si="1">C6</f>
        <v>164.46417918588691</v>
      </c>
      <c r="E7">
        <f t="shared" ref="E7:E41" si="2">B7-D7</f>
        <v>6.5358208141130945</v>
      </c>
      <c r="F7">
        <f t="shared" ref="F7:F41" si="3">E7^2</f>
        <v>42.716953714193956</v>
      </c>
    </row>
    <row r="8" spans="1:6" x14ac:dyDescent="0.7">
      <c r="A8">
        <v>3</v>
      </c>
      <c r="B8">
        <v>147</v>
      </c>
      <c r="C8">
        <f t="shared" si="0"/>
        <v>152.96073478473747</v>
      </c>
      <c r="D8">
        <f t="shared" si="1"/>
        <v>169.24898558524234</v>
      </c>
      <c r="E8">
        <f t="shared" si="2"/>
        <v>-22.248985585242337</v>
      </c>
      <c r="F8">
        <f t="shared" si="3"/>
        <v>495.01735957232131</v>
      </c>
    </row>
    <row r="9" spans="1:6" x14ac:dyDescent="0.7">
      <c r="A9">
        <v>4</v>
      </c>
      <c r="B9">
        <v>143</v>
      </c>
      <c r="C9">
        <f t="shared" si="0"/>
        <v>145.66858451076129</v>
      </c>
      <c r="D9">
        <f t="shared" si="1"/>
        <v>152.96073478473747</v>
      </c>
      <c r="E9">
        <f t="shared" si="2"/>
        <v>-9.9607347847374683</v>
      </c>
      <c r="F9">
        <f t="shared" si="3"/>
        <v>99.216237451878982</v>
      </c>
    </row>
    <row r="10" spans="1:6" x14ac:dyDescent="0.7">
      <c r="A10">
        <v>5</v>
      </c>
      <c r="B10">
        <v>164</v>
      </c>
      <c r="C10">
        <f t="shared" si="0"/>
        <v>159.08882301435543</v>
      </c>
      <c r="D10">
        <f t="shared" si="1"/>
        <v>145.66858451076129</v>
      </c>
      <c r="E10">
        <f t="shared" si="2"/>
        <v>18.331415489238708</v>
      </c>
      <c r="F10">
        <f t="shared" si="3"/>
        <v>336.04079383910084</v>
      </c>
    </row>
    <row r="11" spans="1:6" x14ac:dyDescent="0.7">
      <c r="A11">
        <v>6</v>
      </c>
      <c r="B11">
        <v>160</v>
      </c>
      <c r="C11">
        <f t="shared" si="0"/>
        <v>159.75588620287542</v>
      </c>
      <c r="D11">
        <f t="shared" si="1"/>
        <v>159.08882301435543</v>
      </c>
      <c r="E11">
        <f t="shared" si="2"/>
        <v>0.91117698564457328</v>
      </c>
      <c r="F11">
        <f t="shared" si="3"/>
        <v>0.83024349916833085</v>
      </c>
    </row>
    <row r="12" spans="1:6" x14ac:dyDescent="0.7">
      <c r="A12">
        <v>7</v>
      </c>
      <c r="B12">
        <v>152</v>
      </c>
      <c r="C12">
        <f t="shared" si="0"/>
        <v>154.07788262969657</v>
      </c>
      <c r="D12">
        <f t="shared" si="1"/>
        <v>159.75588620287542</v>
      </c>
      <c r="E12">
        <f t="shared" si="2"/>
        <v>-7.7558862028754163</v>
      </c>
      <c r="F12">
        <f t="shared" si="3"/>
        <v>60.153770791953242</v>
      </c>
    </row>
    <row r="13" spans="1:6" x14ac:dyDescent="0.7">
      <c r="A13">
        <v>8</v>
      </c>
      <c r="B13">
        <v>150</v>
      </c>
      <c r="C13">
        <f t="shared" si="0"/>
        <v>151.09250719525082</v>
      </c>
      <c r="D13">
        <f t="shared" si="1"/>
        <v>154.07788262969657</v>
      </c>
      <c r="E13">
        <f t="shared" si="2"/>
        <v>-4.0778826296965747</v>
      </c>
      <c r="F13">
        <f t="shared" si="3"/>
        <v>16.62912674158105</v>
      </c>
    </row>
    <row r="14" spans="1:6" x14ac:dyDescent="0.7">
      <c r="A14">
        <v>9</v>
      </c>
      <c r="B14">
        <v>159</v>
      </c>
      <c r="C14">
        <f t="shared" si="0"/>
        <v>156.88150038388295</v>
      </c>
      <c r="D14">
        <f t="shared" si="1"/>
        <v>151.09250719525082</v>
      </c>
      <c r="E14">
        <f t="shared" si="2"/>
        <v>7.9074928047491824</v>
      </c>
      <c r="F14">
        <f t="shared" si="3"/>
        <v>62.528442457160089</v>
      </c>
    </row>
    <row r="15" spans="1:6" x14ac:dyDescent="0.7">
      <c r="A15">
        <v>10</v>
      </c>
      <c r="B15">
        <v>169</v>
      </c>
      <c r="C15">
        <f t="shared" si="0"/>
        <v>165.7533278349315</v>
      </c>
      <c r="D15">
        <f t="shared" si="1"/>
        <v>156.88150038388295</v>
      </c>
      <c r="E15">
        <f t="shared" si="2"/>
        <v>12.118499616117049</v>
      </c>
      <c r="F15">
        <f t="shared" si="3"/>
        <v>146.85803294582905</v>
      </c>
    </row>
    <row r="16" spans="1:6" x14ac:dyDescent="0.7">
      <c r="A16">
        <v>11</v>
      </c>
      <c r="B16">
        <v>173</v>
      </c>
      <c r="C16">
        <f t="shared" si="0"/>
        <v>171.05854111045116</v>
      </c>
      <c r="D16">
        <f t="shared" si="1"/>
        <v>165.7533278349315</v>
      </c>
      <c r="E16">
        <f t="shared" si="2"/>
        <v>7.2466721650685031</v>
      </c>
      <c r="F16">
        <f t="shared" si="3"/>
        <v>52.514257467978624</v>
      </c>
    </row>
    <row r="17" spans="1:6" x14ac:dyDescent="0.7">
      <c r="A17">
        <v>12</v>
      </c>
      <c r="B17">
        <v>203</v>
      </c>
      <c r="C17">
        <f t="shared" si="0"/>
        <v>194.44255074692109</v>
      </c>
      <c r="D17">
        <f t="shared" si="1"/>
        <v>171.05854111045116</v>
      </c>
      <c r="E17">
        <f t="shared" si="2"/>
        <v>31.941458889548841</v>
      </c>
      <c r="F17">
        <f t="shared" si="3"/>
        <v>1020.2567959927387</v>
      </c>
    </row>
    <row r="18" spans="1:6" x14ac:dyDescent="0.7">
      <c r="A18">
        <v>13</v>
      </c>
      <c r="B18">
        <v>169</v>
      </c>
      <c r="C18">
        <f t="shared" si="0"/>
        <v>175.81632412716442</v>
      </c>
      <c r="D18">
        <f t="shared" si="1"/>
        <v>194.44255074692109</v>
      </c>
      <c r="E18">
        <f t="shared" si="2"/>
        <v>-25.442550746921086</v>
      </c>
      <c r="F18">
        <f t="shared" si="3"/>
        <v>647.32338850965471</v>
      </c>
    </row>
    <row r="19" spans="1:6" x14ac:dyDescent="0.7">
      <c r="A19">
        <v>14</v>
      </c>
      <c r="B19">
        <v>166</v>
      </c>
      <c r="C19">
        <f t="shared" si="0"/>
        <v>168.6298953927076</v>
      </c>
      <c r="D19">
        <f t="shared" si="1"/>
        <v>175.81632412716442</v>
      </c>
      <c r="E19">
        <f t="shared" si="2"/>
        <v>-9.816324127164421</v>
      </c>
      <c r="F19">
        <f t="shared" si="3"/>
        <v>96.360219369550336</v>
      </c>
    </row>
    <row r="20" spans="1:6" x14ac:dyDescent="0.7">
      <c r="A20">
        <v>15</v>
      </c>
      <c r="B20">
        <v>162</v>
      </c>
      <c r="C20">
        <f t="shared" si="0"/>
        <v>163.77621797340259</v>
      </c>
      <c r="D20">
        <f t="shared" si="1"/>
        <v>168.6298953927076</v>
      </c>
      <c r="E20">
        <f t="shared" si="2"/>
        <v>-6.6298953927075956</v>
      </c>
      <c r="F20">
        <f t="shared" si="3"/>
        <v>43.955512918245404</v>
      </c>
    </row>
    <row r="21" spans="1:6" x14ac:dyDescent="0.7">
      <c r="A21">
        <v>16</v>
      </c>
      <c r="B21">
        <v>147</v>
      </c>
      <c r="C21">
        <f t="shared" si="0"/>
        <v>151.4945233861236</v>
      </c>
      <c r="D21">
        <f t="shared" si="1"/>
        <v>163.77621797340259</v>
      </c>
      <c r="E21">
        <f t="shared" si="2"/>
        <v>-16.776217973402595</v>
      </c>
      <c r="F21">
        <f t="shared" si="3"/>
        <v>281.44148949111627</v>
      </c>
    </row>
    <row r="22" spans="1:6" x14ac:dyDescent="0.7">
      <c r="A22">
        <v>17</v>
      </c>
      <c r="B22">
        <v>188</v>
      </c>
      <c r="C22">
        <f t="shared" si="0"/>
        <v>178.21980290058323</v>
      </c>
      <c r="D22">
        <f t="shared" si="1"/>
        <v>151.4945233861236</v>
      </c>
      <c r="E22">
        <f t="shared" si="2"/>
        <v>36.505476613876397</v>
      </c>
      <c r="F22">
        <f t="shared" si="3"/>
        <v>1332.6498228062765</v>
      </c>
    </row>
    <row r="23" spans="1:6" x14ac:dyDescent="0.7">
      <c r="A23">
        <v>18</v>
      </c>
      <c r="B23">
        <v>161</v>
      </c>
      <c r="C23">
        <f t="shared" si="0"/>
        <v>165.61336440452871</v>
      </c>
      <c r="D23">
        <f t="shared" si="1"/>
        <v>178.21980290058323</v>
      </c>
      <c r="E23">
        <f t="shared" si="2"/>
        <v>-17.219802900583232</v>
      </c>
      <c r="F23">
        <f t="shared" si="3"/>
        <v>296.5216119349347</v>
      </c>
    </row>
    <row r="24" spans="1:6" x14ac:dyDescent="0.7">
      <c r="A24">
        <v>19</v>
      </c>
      <c r="B24">
        <v>162</v>
      </c>
      <c r="C24">
        <f t="shared" si="0"/>
        <v>162.96805792846092</v>
      </c>
      <c r="D24">
        <f t="shared" si="1"/>
        <v>165.61336440452871</v>
      </c>
      <c r="E24">
        <f t="shared" si="2"/>
        <v>-3.6133644045287099</v>
      </c>
      <c r="F24">
        <f t="shared" si="3"/>
        <v>13.056402319915119</v>
      </c>
    </row>
    <row r="25" spans="1:6" x14ac:dyDescent="0.7">
      <c r="A25">
        <v>20</v>
      </c>
      <c r="B25">
        <v>169</v>
      </c>
      <c r="C25">
        <f t="shared" si="0"/>
        <v>167.38397994427248</v>
      </c>
      <c r="D25">
        <f t="shared" si="1"/>
        <v>162.96805792846092</v>
      </c>
      <c r="E25">
        <f t="shared" si="2"/>
        <v>6.0319420715390777</v>
      </c>
      <c r="F25">
        <f t="shared" si="3"/>
        <v>36.384325154403143</v>
      </c>
    </row>
    <row r="26" spans="1:6" x14ac:dyDescent="0.7">
      <c r="A26">
        <v>21</v>
      </c>
      <c r="B26">
        <v>185</v>
      </c>
      <c r="C26">
        <f t="shared" si="0"/>
        <v>180.28048489615381</v>
      </c>
      <c r="D26">
        <f t="shared" si="1"/>
        <v>167.38397994427248</v>
      </c>
      <c r="E26">
        <f t="shared" si="2"/>
        <v>17.616020055727518</v>
      </c>
      <c r="F26">
        <f t="shared" si="3"/>
        <v>310.32416260379415</v>
      </c>
    </row>
    <row r="27" spans="1:6" x14ac:dyDescent="0.7">
      <c r="A27">
        <v>22</v>
      </c>
      <c r="B27">
        <v>188</v>
      </c>
      <c r="C27">
        <f t="shared" si="0"/>
        <v>185.93186156624944</v>
      </c>
      <c r="D27">
        <f t="shared" si="1"/>
        <v>180.28048489615381</v>
      </c>
      <c r="E27">
        <f t="shared" si="2"/>
        <v>7.7195151038461916</v>
      </c>
      <c r="F27">
        <f t="shared" si="3"/>
        <v>59.590913438509475</v>
      </c>
    </row>
    <row r="28" spans="1:6" x14ac:dyDescent="0.7">
      <c r="A28">
        <v>23</v>
      </c>
      <c r="B28">
        <v>200</v>
      </c>
      <c r="C28">
        <f t="shared" si="0"/>
        <v>196.23099930568608</v>
      </c>
      <c r="D28">
        <f t="shared" si="1"/>
        <v>185.93186156624944</v>
      </c>
      <c r="E28">
        <f t="shared" si="2"/>
        <v>14.068138433750562</v>
      </c>
      <c r="F28">
        <f t="shared" si="3"/>
        <v>197.91251899116972</v>
      </c>
    </row>
    <row r="29" spans="1:6" x14ac:dyDescent="0.7">
      <c r="A29">
        <v>24</v>
      </c>
      <c r="B29">
        <v>229</v>
      </c>
      <c r="C29">
        <f t="shared" si="0"/>
        <v>220.22084368515019</v>
      </c>
      <c r="D29">
        <f t="shared" si="1"/>
        <v>196.23099930568608</v>
      </c>
      <c r="E29">
        <f t="shared" si="2"/>
        <v>32.769000694313917</v>
      </c>
      <c r="F29">
        <f t="shared" si="3"/>
        <v>1073.8074065039459</v>
      </c>
    </row>
    <row r="30" spans="1:6" x14ac:dyDescent="0.7">
      <c r="A30">
        <v>25</v>
      </c>
      <c r="B30">
        <v>189</v>
      </c>
      <c r="C30">
        <f t="shared" si="0"/>
        <v>197.36438894033734</v>
      </c>
      <c r="D30">
        <f t="shared" si="1"/>
        <v>220.22084368515019</v>
      </c>
      <c r="E30">
        <f t="shared" si="2"/>
        <v>-31.220843685150186</v>
      </c>
      <c r="F30">
        <f t="shared" si="3"/>
        <v>974.74108041258228</v>
      </c>
    </row>
    <row r="31" spans="1:6" x14ac:dyDescent="0.7">
      <c r="A31">
        <v>26</v>
      </c>
      <c r="B31">
        <v>218</v>
      </c>
      <c r="C31">
        <f t="shared" si="0"/>
        <v>212.47150504114526</v>
      </c>
      <c r="D31">
        <f t="shared" si="1"/>
        <v>197.36438894033734</v>
      </c>
      <c r="E31">
        <f t="shared" si="2"/>
        <v>20.635611059662665</v>
      </c>
      <c r="F31">
        <f t="shared" si="3"/>
        <v>425.82844380567207</v>
      </c>
    </row>
    <row r="32" spans="1:6" x14ac:dyDescent="0.7">
      <c r="A32">
        <v>27</v>
      </c>
      <c r="B32">
        <v>185</v>
      </c>
      <c r="C32">
        <f t="shared" si="0"/>
        <v>192.35990209802912</v>
      </c>
      <c r="D32">
        <f t="shared" si="1"/>
        <v>212.47150504114526</v>
      </c>
      <c r="E32">
        <f t="shared" si="2"/>
        <v>-27.471505041145264</v>
      </c>
      <c r="F32">
        <f t="shared" si="3"/>
        <v>754.68358922566961</v>
      </c>
    </row>
    <row r="33" spans="1:7" x14ac:dyDescent="0.7">
      <c r="A33">
        <v>28</v>
      </c>
      <c r="B33">
        <v>199</v>
      </c>
      <c r="C33">
        <f t="shared" si="0"/>
        <v>197.22104866818768</v>
      </c>
      <c r="D33">
        <f t="shared" si="1"/>
        <v>192.35990209802912</v>
      </c>
      <c r="E33">
        <f t="shared" si="2"/>
        <v>6.6400979019708757</v>
      </c>
      <c r="F33">
        <f t="shared" si="3"/>
        <v>44.090900147758028</v>
      </c>
    </row>
    <row r="34" spans="1:7" x14ac:dyDescent="0.7">
      <c r="A34">
        <v>29</v>
      </c>
      <c r="B34">
        <v>210</v>
      </c>
      <c r="C34">
        <f t="shared" si="0"/>
        <v>206.57638594693839</v>
      </c>
      <c r="D34">
        <f t="shared" si="1"/>
        <v>197.22104866818768</v>
      </c>
      <c r="E34">
        <f t="shared" si="2"/>
        <v>12.778951331812323</v>
      </c>
      <c r="F34">
        <f t="shared" si="3"/>
        <v>163.30159714082794</v>
      </c>
    </row>
    <row r="35" spans="1:7" x14ac:dyDescent="0.7">
      <c r="A35">
        <v>30</v>
      </c>
      <c r="B35">
        <v>193</v>
      </c>
      <c r="C35">
        <f t="shared" si="0"/>
        <v>196.63725508540102</v>
      </c>
      <c r="D35">
        <f t="shared" si="1"/>
        <v>206.57638594693839</v>
      </c>
      <c r="E35">
        <f t="shared" si="2"/>
        <v>-13.576385946938387</v>
      </c>
      <c r="F35">
        <f t="shared" si="3"/>
        <v>184.31825538022613</v>
      </c>
    </row>
    <row r="36" spans="1:7" x14ac:dyDescent="0.7">
      <c r="A36">
        <v>31</v>
      </c>
      <c r="B36">
        <v>211</v>
      </c>
      <c r="C36">
        <f t="shared" si="0"/>
        <v>207.15207116348049</v>
      </c>
      <c r="D36">
        <f t="shared" si="1"/>
        <v>196.63725508540102</v>
      </c>
      <c r="E36">
        <f t="shared" si="2"/>
        <v>14.362744914598977</v>
      </c>
      <c r="F36">
        <f t="shared" si="3"/>
        <v>206.28844148183879</v>
      </c>
    </row>
    <row r="37" spans="1:7" x14ac:dyDescent="0.7">
      <c r="A37">
        <v>32</v>
      </c>
      <c r="B37">
        <v>208</v>
      </c>
      <c r="C37">
        <f t="shared" si="0"/>
        <v>207.77283104025307</v>
      </c>
      <c r="D37">
        <f t="shared" si="1"/>
        <v>207.15207116348049</v>
      </c>
      <c r="E37">
        <f t="shared" si="2"/>
        <v>0.84792883651951456</v>
      </c>
      <c r="F37">
        <f t="shared" si="3"/>
        <v>0.71898331180133768</v>
      </c>
    </row>
    <row r="38" spans="1:7" x14ac:dyDescent="0.7">
      <c r="A38">
        <v>33</v>
      </c>
      <c r="B38">
        <v>216</v>
      </c>
      <c r="C38">
        <f t="shared" si="0"/>
        <v>213.79585581507123</v>
      </c>
      <c r="D38">
        <f t="shared" si="1"/>
        <v>207.77283104025307</v>
      </c>
      <c r="E38">
        <f t="shared" si="2"/>
        <v>8.2271689597469333</v>
      </c>
      <c r="F38">
        <f t="shared" si="3"/>
        <v>67.686309092223439</v>
      </c>
    </row>
    <row r="39" spans="1:7" x14ac:dyDescent="0.7">
      <c r="A39">
        <v>34</v>
      </c>
      <c r="B39">
        <v>218</v>
      </c>
      <c r="C39">
        <f t="shared" si="0"/>
        <v>216.87366602009132</v>
      </c>
      <c r="D39">
        <f t="shared" si="1"/>
        <v>213.79585581507123</v>
      </c>
      <c r="E39">
        <f t="shared" si="2"/>
        <v>4.2041441849287651</v>
      </c>
      <c r="F39">
        <f t="shared" si="3"/>
        <v>17.674828327670351</v>
      </c>
    </row>
    <row r="40" spans="1:7" x14ac:dyDescent="0.7">
      <c r="A40">
        <v>35</v>
      </c>
      <c r="B40">
        <v>264</v>
      </c>
      <c r="C40">
        <f t="shared" si="0"/>
        <v>251.37436468036003</v>
      </c>
      <c r="D40">
        <f t="shared" si="1"/>
        <v>216.87366602009132</v>
      </c>
      <c r="E40">
        <f t="shared" si="2"/>
        <v>47.126333979908679</v>
      </c>
      <c r="F40">
        <f t="shared" si="3"/>
        <v>2220.8913543858953</v>
      </c>
    </row>
    <row r="41" spans="1:7" x14ac:dyDescent="0.7">
      <c r="A41">
        <v>36</v>
      </c>
      <c r="B41">
        <v>304</v>
      </c>
      <c r="C41">
        <f t="shared" si="0"/>
        <v>289.90104461990603</v>
      </c>
      <c r="D41">
        <f t="shared" si="1"/>
        <v>251.37436468036003</v>
      </c>
      <c r="E41">
        <f t="shared" si="2"/>
        <v>52.625635319639969</v>
      </c>
      <c r="F41">
        <f t="shared" si="3"/>
        <v>2769.4574927957378</v>
      </c>
    </row>
    <row r="42" spans="1:7" x14ac:dyDescent="0.7">
      <c r="A42" s="15">
        <v>37</v>
      </c>
      <c r="B42" s="16">
        <f>$C$41</f>
        <v>289.90104461990603</v>
      </c>
      <c r="G42" s="18"/>
    </row>
    <row r="43" spans="1:7" x14ac:dyDescent="0.7">
      <c r="A43" s="15">
        <v>38</v>
      </c>
      <c r="B43" s="16">
        <f t="shared" ref="B43:B53" si="4">$C$41</f>
        <v>289.90104461990603</v>
      </c>
      <c r="G43" s="18"/>
    </row>
    <row r="44" spans="1:7" x14ac:dyDescent="0.7">
      <c r="A44" s="15">
        <v>39</v>
      </c>
      <c r="B44" s="16">
        <f t="shared" si="4"/>
        <v>289.90104461990603</v>
      </c>
      <c r="G44" s="18"/>
    </row>
    <row r="45" spans="1:7" x14ac:dyDescent="0.7">
      <c r="A45" s="15">
        <v>40</v>
      </c>
      <c r="B45" s="16">
        <f t="shared" si="4"/>
        <v>289.90104461990603</v>
      </c>
      <c r="G45" s="18"/>
    </row>
    <row r="46" spans="1:7" x14ac:dyDescent="0.7">
      <c r="A46" s="15">
        <v>41</v>
      </c>
      <c r="B46" s="16">
        <f t="shared" si="4"/>
        <v>289.90104461990603</v>
      </c>
      <c r="G46" s="18"/>
    </row>
    <row r="47" spans="1:7" x14ac:dyDescent="0.7">
      <c r="A47" s="15">
        <v>42</v>
      </c>
      <c r="B47" s="16">
        <f t="shared" si="4"/>
        <v>289.90104461990603</v>
      </c>
      <c r="G47" s="18"/>
    </row>
    <row r="48" spans="1:7" x14ac:dyDescent="0.7">
      <c r="A48" s="15">
        <v>43</v>
      </c>
      <c r="B48" s="16">
        <f t="shared" si="4"/>
        <v>289.90104461990603</v>
      </c>
      <c r="G48" s="18"/>
    </row>
    <row r="49" spans="1:7" x14ac:dyDescent="0.7">
      <c r="A49" s="15">
        <v>44</v>
      </c>
      <c r="B49" s="16">
        <f t="shared" si="4"/>
        <v>289.90104461990603</v>
      </c>
      <c r="G49" s="18"/>
    </row>
    <row r="50" spans="1:7" x14ac:dyDescent="0.7">
      <c r="A50" s="15">
        <v>45</v>
      </c>
      <c r="B50" s="16">
        <f t="shared" si="4"/>
        <v>289.90104461990603</v>
      </c>
      <c r="G50" s="18"/>
    </row>
    <row r="51" spans="1:7" x14ac:dyDescent="0.7">
      <c r="A51" s="15">
        <v>46</v>
      </c>
      <c r="B51" s="16">
        <f t="shared" si="4"/>
        <v>289.90104461990603</v>
      </c>
      <c r="G51" s="18"/>
    </row>
    <row r="52" spans="1:7" x14ac:dyDescent="0.7">
      <c r="A52" s="15">
        <v>47</v>
      </c>
      <c r="B52" s="16">
        <f t="shared" si="4"/>
        <v>289.90104461990603</v>
      </c>
      <c r="G52" s="18"/>
    </row>
    <row r="53" spans="1:7" x14ac:dyDescent="0.7">
      <c r="A53" s="15">
        <v>48</v>
      </c>
      <c r="B53" s="16">
        <f t="shared" si="4"/>
        <v>289.90104461990603</v>
      </c>
      <c r="G53" s="18"/>
    </row>
  </sheetData>
  <phoneticPr fontId="4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53"/>
  <sheetViews>
    <sheetView workbookViewId="0">
      <pane ySplit="4" topLeftCell="A5" activePane="bottomLeft" state="frozen"/>
      <selection pane="bottomLeft" activeCell="D3" sqref="D3"/>
    </sheetView>
  </sheetViews>
  <sheetFormatPr defaultColWidth="11" defaultRowHeight="19.149999999999999" x14ac:dyDescent="0.7"/>
  <cols>
    <col min="1" max="1" width="12" bestFit="1" customWidth="1"/>
    <col min="2" max="2" width="11.33203125" bestFit="1" customWidth="1"/>
    <col min="3" max="3" width="11.44140625" style="14" bestFit="1" customWidth="1"/>
    <col min="4" max="4" width="11.88671875" style="14" customWidth="1"/>
    <col min="5" max="7" width="10.88671875" style="14" customWidth="1"/>
  </cols>
  <sheetData>
    <row r="1" spans="1:8" s="9" customFormat="1" ht="76.5" x14ac:dyDescent="0.7">
      <c r="A1" s="9" t="s">
        <v>10</v>
      </c>
      <c r="C1" s="10" t="s">
        <v>3</v>
      </c>
      <c r="D1" s="10" t="s">
        <v>11</v>
      </c>
      <c r="E1" s="10"/>
      <c r="F1" s="10" t="s">
        <v>4</v>
      </c>
      <c r="G1" s="10" t="s">
        <v>5</v>
      </c>
    </row>
    <row r="2" spans="1:8" x14ac:dyDescent="0.7">
      <c r="A2">
        <v>36</v>
      </c>
      <c r="C2" s="12">
        <v>0.9</v>
      </c>
      <c r="D2" s="12">
        <v>0.4</v>
      </c>
      <c r="F2" s="14">
        <f>SUM(G6:G41)</f>
        <v>17610.771892219422</v>
      </c>
      <c r="G2" s="12">
        <f>SQRT(F2/(36-2))</f>
        <v>22.758819810854082</v>
      </c>
    </row>
    <row r="4" spans="1:8" ht="38.25" x14ac:dyDescent="0.7">
      <c r="A4" s="9" t="s">
        <v>1</v>
      </c>
      <c r="B4" s="9" t="s">
        <v>12</v>
      </c>
      <c r="C4" s="14" t="s">
        <v>13</v>
      </c>
      <c r="D4" s="14" t="s">
        <v>14</v>
      </c>
      <c r="E4" s="10" t="s">
        <v>7</v>
      </c>
      <c r="F4" s="10" t="s">
        <v>8</v>
      </c>
      <c r="G4" s="10" t="s">
        <v>9</v>
      </c>
      <c r="H4" s="9"/>
    </row>
    <row r="5" spans="1:8" x14ac:dyDescent="0.7">
      <c r="A5" s="17">
        <v>0</v>
      </c>
      <c r="B5" s="17"/>
      <c r="C5" s="18">
        <v>155.88</v>
      </c>
      <c r="D5" s="18">
        <v>0.83689999999999998</v>
      </c>
      <c r="E5" s="18"/>
      <c r="F5" s="18"/>
      <c r="G5" s="18"/>
    </row>
    <row r="6" spans="1:8" x14ac:dyDescent="0.7">
      <c r="A6">
        <v>1</v>
      </c>
      <c r="B6">
        <v>165</v>
      </c>
      <c r="C6" s="14">
        <f>C5+D5+$C$2*F6</f>
        <v>164.17169000000001</v>
      </c>
      <c r="D6" s="14">
        <f>D5+$C$2*$D$2*F6</f>
        <v>3.8188159999999969</v>
      </c>
      <c r="E6" s="14">
        <f>C5+D5</f>
        <v>156.71690000000001</v>
      </c>
      <c r="F6" s="14">
        <f>B6-E6</f>
        <v>8.2830999999999904</v>
      </c>
      <c r="G6" s="14">
        <f>F6^2</f>
        <v>68.609745609999834</v>
      </c>
    </row>
    <row r="7" spans="1:8" x14ac:dyDescent="0.7">
      <c r="A7">
        <v>2</v>
      </c>
      <c r="B7">
        <v>171</v>
      </c>
      <c r="C7" s="14">
        <f>C6+D6+$C$2*F7</f>
        <v>170.69905059999999</v>
      </c>
      <c r="D7" s="14">
        <f>D6+$C$2*$D$2*F7</f>
        <v>4.902233839999993</v>
      </c>
      <c r="E7" s="14">
        <f>C6+D6</f>
        <v>167.99050600000001</v>
      </c>
      <c r="F7" s="14">
        <f>B7-E7</f>
        <v>3.0094939999999895</v>
      </c>
      <c r="G7" s="14">
        <f t="shared" ref="G7:G41" si="0">F7^2</f>
        <v>9.0570541360359371</v>
      </c>
    </row>
    <row r="8" spans="1:8" x14ac:dyDescent="0.7">
      <c r="A8">
        <v>3</v>
      </c>
      <c r="B8">
        <v>147</v>
      </c>
      <c r="C8" s="14">
        <f t="shared" ref="C8:C41" si="1">C7+D7+$C$2*F8</f>
        <v>149.860128444</v>
      </c>
      <c r="D8" s="14">
        <f t="shared" ref="D8:D41" si="2">D7+$C$2*$D$2*F8</f>
        <v>-5.3942285583999974</v>
      </c>
      <c r="E8" s="14">
        <f t="shared" ref="E8:E41" si="3">C7+D7</f>
        <v>175.60128443999997</v>
      </c>
      <c r="F8" s="14">
        <f t="shared" ref="F8:F41" si="4">B8-E8</f>
        <v>-28.601284439999972</v>
      </c>
      <c r="G8" s="14">
        <f t="shared" si="0"/>
        <v>818.03347161778447</v>
      </c>
    </row>
    <row r="9" spans="1:8" x14ac:dyDescent="0.7">
      <c r="A9">
        <v>4</v>
      </c>
      <c r="B9">
        <v>143</v>
      </c>
      <c r="C9" s="14">
        <f t="shared" si="1"/>
        <v>143.14658998856001</v>
      </c>
      <c r="D9" s="14">
        <f t="shared" si="2"/>
        <v>-5.9219525172160008</v>
      </c>
      <c r="E9" s="14">
        <f t="shared" si="3"/>
        <v>144.46589988560001</v>
      </c>
      <c r="F9" s="14">
        <f t="shared" si="4"/>
        <v>-1.4658998856000096</v>
      </c>
      <c r="G9" s="14">
        <f t="shared" si="0"/>
        <v>2.1488624746021214</v>
      </c>
    </row>
    <row r="10" spans="1:8" x14ac:dyDescent="0.7">
      <c r="A10">
        <v>5</v>
      </c>
      <c r="B10">
        <v>164</v>
      </c>
      <c r="C10" s="14">
        <f t="shared" si="1"/>
        <v>161.32246374713441</v>
      </c>
      <c r="D10" s="14">
        <f t="shared" si="2"/>
        <v>3.7171779931001563</v>
      </c>
      <c r="E10" s="14">
        <f t="shared" si="3"/>
        <v>137.22463747134401</v>
      </c>
      <c r="F10" s="14">
        <f t="shared" si="4"/>
        <v>26.77536252865599</v>
      </c>
      <c r="G10" s="14">
        <f t="shared" si="0"/>
        <v>716.92003854095526</v>
      </c>
    </row>
    <row r="11" spans="1:8" x14ac:dyDescent="0.7">
      <c r="A11">
        <v>6</v>
      </c>
      <c r="B11">
        <v>160</v>
      </c>
      <c r="C11" s="14">
        <f t="shared" si="1"/>
        <v>160.50396417402345</v>
      </c>
      <c r="D11" s="14">
        <f t="shared" si="2"/>
        <v>1.9029069666157101</v>
      </c>
      <c r="E11" s="14">
        <f t="shared" si="3"/>
        <v>165.03964174023457</v>
      </c>
      <c r="F11" s="14">
        <f t="shared" si="4"/>
        <v>-5.0396417402345719</v>
      </c>
      <c r="G11" s="14">
        <f t="shared" si="0"/>
        <v>25.397988869914546</v>
      </c>
    </row>
    <row r="12" spans="1:8" x14ac:dyDescent="0.7">
      <c r="A12">
        <v>7</v>
      </c>
      <c r="B12">
        <v>152</v>
      </c>
      <c r="C12" s="14">
        <f t="shared" si="1"/>
        <v>153.04068711406393</v>
      </c>
      <c r="D12" s="14">
        <f t="shared" si="2"/>
        <v>-1.843566644014391</v>
      </c>
      <c r="E12" s="14">
        <f t="shared" si="3"/>
        <v>162.40687114063917</v>
      </c>
      <c r="F12" s="14">
        <f t="shared" si="4"/>
        <v>-10.406871140639169</v>
      </c>
      <c r="G12" s="14">
        <f t="shared" si="0"/>
        <v>108.30296693786839</v>
      </c>
    </row>
    <row r="13" spans="1:8" x14ac:dyDescent="0.7">
      <c r="A13">
        <v>8</v>
      </c>
      <c r="B13">
        <v>150</v>
      </c>
      <c r="C13" s="14">
        <f t="shared" si="1"/>
        <v>150.11971204700495</v>
      </c>
      <c r="D13" s="14">
        <f t="shared" si="2"/>
        <v>-2.2745300132322206</v>
      </c>
      <c r="E13" s="14">
        <f t="shared" si="3"/>
        <v>151.19712047004953</v>
      </c>
      <c r="F13" s="14">
        <f t="shared" si="4"/>
        <v>-1.1971204700495264</v>
      </c>
      <c r="G13" s="14">
        <f t="shared" si="0"/>
        <v>1.4330974198115989</v>
      </c>
    </row>
    <row r="14" spans="1:8" x14ac:dyDescent="0.7">
      <c r="A14">
        <v>9</v>
      </c>
      <c r="B14">
        <v>159</v>
      </c>
      <c r="C14" s="14">
        <f t="shared" si="1"/>
        <v>157.88451820337727</v>
      </c>
      <c r="D14" s="14">
        <f t="shared" si="2"/>
        <v>1.7412044546095919</v>
      </c>
      <c r="E14" s="14">
        <f t="shared" si="3"/>
        <v>147.84518203377274</v>
      </c>
      <c r="F14" s="14">
        <f t="shared" si="4"/>
        <v>11.154817966227256</v>
      </c>
      <c r="G14" s="14">
        <f t="shared" si="0"/>
        <v>124.42996385966637</v>
      </c>
    </row>
    <row r="15" spans="1:8" x14ac:dyDescent="0.7">
      <c r="A15">
        <v>10</v>
      </c>
      <c r="B15">
        <v>169</v>
      </c>
      <c r="C15" s="14">
        <f t="shared" si="1"/>
        <v>168.06257226579868</v>
      </c>
      <c r="D15" s="14">
        <f t="shared" si="2"/>
        <v>5.1159442977343197</v>
      </c>
      <c r="E15" s="14">
        <f t="shared" si="3"/>
        <v>159.62572265798687</v>
      </c>
      <c r="F15" s="14">
        <f t="shared" si="4"/>
        <v>9.37427734201313</v>
      </c>
      <c r="G15" s="14">
        <f t="shared" si="0"/>
        <v>87.877075684980753</v>
      </c>
    </row>
    <row r="16" spans="1:8" x14ac:dyDescent="0.7">
      <c r="A16">
        <v>11</v>
      </c>
      <c r="B16">
        <v>173</v>
      </c>
      <c r="C16" s="14">
        <f t="shared" si="1"/>
        <v>173.01785165635329</v>
      </c>
      <c r="D16" s="14">
        <f t="shared" si="2"/>
        <v>5.0516783348624363</v>
      </c>
      <c r="E16" s="14">
        <f t="shared" si="3"/>
        <v>173.17851656353301</v>
      </c>
      <c r="F16" s="14">
        <f t="shared" si="4"/>
        <v>-0.17851656353300882</v>
      </c>
      <c r="G16" s="14">
        <f t="shared" si="0"/>
        <v>3.1868163455634778E-2</v>
      </c>
    </row>
    <row r="17" spans="1:7" x14ac:dyDescent="0.7">
      <c r="A17">
        <v>12</v>
      </c>
      <c r="B17">
        <v>203</v>
      </c>
      <c r="C17" s="14">
        <f t="shared" si="1"/>
        <v>200.50695299912158</v>
      </c>
      <c r="D17" s="14">
        <f t="shared" si="2"/>
        <v>14.026647538024779</v>
      </c>
      <c r="E17" s="14">
        <f t="shared" si="3"/>
        <v>178.06952999121572</v>
      </c>
      <c r="F17" s="14">
        <f t="shared" si="4"/>
        <v>24.930470008784283</v>
      </c>
      <c r="G17" s="14">
        <f t="shared" si="0"/>
        <v>621.52833485889266</v>
      </c>
    </row>
    <row r="18" spans="1:7" x14ac:dyDescent="0.7">
      <c r="A18">
        <v>13</v>
      </c>
      <c r="B18">
        <v>169</v>
      </c>
      <c r="C18" s="14">
        <f t="shared" si="1"/>
        <v>173.55336005371464</v>
      </c>
      <c r="D18" s="14">
        <f t="shared" si="2"/>
        <v>-2.3654486553479117</v>
      </c>
      <c r="E18" s="14">
        <f t="shared" si="3"/>
        <v>214.53360053714636</v>
      </c>
      <c r="F18" s="14">
        <f t="shared" si="4"/>
        <v>-45.533600537146356</v>
      </c>
      <c r="G18" s="14">
        <f t="shared" si="0"/>
        <v>2073.3087778764148</v>
      </c>
    </row>
    <row r="19" spans="1:7" x14ac:dyDescent="0.7">
      <c r="A19">
        <v>14</v>
      </c>
      <c r="B19">
        <v>166</v>
      </c>
      <c r="C19" s="14">
        <f t="shared" si="1"/>
        <v>166.51879113983668</v>
      </c>
      <c r="D19" s="14">
        <f t="shared" si="2"/>
        <v>-4.2330967587599373</v>
      </c>
      <c r="E19" s="14">
        <f t="shared" si="3"/>
        <v>171.18791139836674</v>
      </c>
      <c r="F19" s="14">
        <f t="shared" si="4"/>
        <v>-5.1879113983667366</v>
      </c>
      <c r="G19" s="14">
        <f t="shared" si="0"/>
        <v>26.914424677303508</v>
      </c>
    </row>
    <row r="20" spans="1:7" x14ac:dyDescent="0.7">
      <c r="A20">
        <v>15</v>
      </c>
      <c r="B20">
        <v>162</v>
      </c>
      <c r="C20" s="14">
        <f t="shared" si="1"/>
        <v>162.02856943810767</v>
      </c>
      <c r="D20" s="14">
        <f t="shared" si="2"/>
        <v>-4.3359467359475676</v>
      </c>
      <c r="E20" s="14">
        <f t="shared" si="3"/>
        <v>162.28569438107675</v>
      </c>
      <c r="F20" s="14">
        <f t="shared" si="4"/>
        <v>-0.28569438107675182</v>
      </c>
      <c r="G20" s="14">
        <f t="shared" si="0"/>
        <v>8.1621279378828293E-2</v>
      </c>
    </row>
    <row r="21" spans="1:7" x14ac:dyDescent="0.7">
      <c r="A21">
        <v>16</v>
      </c>
      <c r="B21">
        <v>147</v>
      </c>
      <c r="C21" s="14">
        <f t="shared" si="1"/>
        <v>148.069262270216</v>
      </c>
      <c r="D21" s="14">
        <f t="shared" si="2"/>
        <v>-8.1852909087252019</v>
      </c>
      <c r="E21" s="14">
        <f t="shared" si="3"/>
        <v>157.69262270216009</v>
      </c>
      <c r="F21" s="14">
        <f t="shared" si="4"/>
        <v>-10.692622702160094</v>
      </c>
      <c r="G21" s="14">
        <f t="shared" si="0"/>
        <v>114.33218025074942</v>
      </c>
    </row>
    <row r="22" spans="1:7" x14ac:dyDescent="0.7">
      <c r="A22">
        <v>17</v>
      </c>
      <c r="B22">
        <v>188</v>
      </c>
      <c r="C22" s="14">
        <f t="shared" si="1"/>
        <v>183.18839713614909</v>
      </c>
      <c r="D22" s="14">
        <f t="shared" si="2"/>
        <v>9.136479401138109</v>
      </c>
      <c r="E22" s="14">
        <f t="shared" si="3"/>
        <v>139.88397136149081</v>
      </c>
      <c r="F22" s="14">
        <f t="shared" si="4"/>
        <v>48.116028638509192</v>
      </c>
      <c r="G22" s="14">
        <f t="shared" si="0"/>
        <v>2315.1522119418369</v>
      </c>
    </row>
    <row r="23" spans="1:7" x14ac:dyDescent="0.7">
      <c r="A23">
        <v>18</v>
      </c>
      <c r="B23">
        <v>161</v>
      </c>
      <c r="C23" s="14">
        <f t="shared" si="1"/>
        <v>164.13248765372873</v>
      </c>
      <c r="D23" s="14">
        <f t="shared" si="2"/>
        <v>-2.1404761522852827</v>
      </c>
      <c r="E23" s="14">
        <f t="shared" si="3"/>
        <v>192.3248765372872</v>
      </c>
      <c r="F23" s="14">
        <f t="shared" si="4"/>
        <v>-31.324876537287196</v>
      </c>
      <c r="G23" s="14">
        <f t="shared" si="0"/>
        <v>981.2478900762859</v>
      </c>
    </row>
    <row r="24" spans="1:7" x14ac:dyDescent="0.7">
      <c r="A24">
        <v>19</v>
      </c>
      <c r="B24">
        <v>162</v>
      </c>
      <c r="C24" s="14">
        <f t="shared" si="1"/>
        <v>161.99920115014436</v>
      </c>
      <c r="D24" s="14">
        <f t="shared" si="2"/>
        <v>-2.137600292804922</v>
      </c>
      <c r="E24" s="14">
        <f t="shared" si="3"/>
        <v>161.99201150144344</v>
      </c>
      <c r="F24" s="14">
        <f t="shared" si="4"/>
        <v>7.9884985565570332E-3</v>
      </c>
      <c r="G24" s="14">
        <f t="shared" si="0"/>
        <v>6.3816109188113805E-5</v>
      </c>
    </row>
    <row r="25" spans="1:7" x14ac:dyDescent="0.7">
      <c r="A25">
        <v>20</v>
      </c>
      <c r="B25">
        <v>169</v>
      </c>
      <c r="C25" s="14">
        <f t="shared" si="1"/>
        <v>168.08616008573395</v>
      </c>
      <c r="D25" s="14">
        <f t="shared" si="2"/>
        <v>1.1522233985528851</v>
      </c>
      <c r="E25" s="14">
        <f t="shared" si="3"/>
        <v>159.86160085733943</v>
      </c>
      <c r="F25" s="14">
        <f t="shared" si="4"/>
        <v>9.1383991426605746</v>
      </c>
      <c r="G25" s="14">
        <f t="shared" si="0"/>
        <v>83.510338890579519</v>
      </c>
    </row>
    <row r="26" spans="1:7" x14ac:dyDescent="0.7">
      <c r="A26">
        <v>21</v>
      </c>
      <c r="B26">
        <v>185</v>
      </c>
      <c r="C26" s="14">
        <f t="shared" si="1"/>
        <v>183.42383834842869</v>
      </c>
      <c r="D26" s="14">
        <f t="shared" si="2"/>
        <v>6.8264053442096273</v>
      </c>
      <c r="E26" s="14">
        <f t="shared" si="3"/>
        <v>169.23838348428683</v>
      </c>
      <c r="F26" s="14">
        <f t="shared" si="4"/>
        <v>15.761616515713172</v>
      </c>
      <c r="G26" s="14">
        <f t="shared" si="0"/>
        <v>248.42855518840221</v>
      </c>
    </row>
    <row r="27" spans="1:7" x14ac:dyDescent="0.7">
      <c r="A27">
        <v>22</v>
      </c>
      <c r="B27">
        <v>188</v>
      </c>
      <c r="C27" s="14">
        <f t="shared" si="1"/>
        <v>188.22502436926382</v>
      </c>
      <c r="D27" s="14">
        <f t="shared" si="2"/>
        <v>6.0163176148598314</v>
      </c>
      <c r="E27" s="14">
        <f t="shared" si="3"/>
        <v>190.25024369263832</v>
      </c>
      <c r="F27" s="14">
        <f t="shared" si="4"/>
        <v>-2.2502436926383211</v>
      </c>
      <c r="G27" s="14">
        <f t="shared" si="0"/>
        <v>5.0635966762585474</v>
      </c>
    </row>
    <row r="28" spans="1:7" x14ac:dyDescent="0.7">
      <c r="A28">
        <v>23</v>
      </c>
      <c r="B28">
        <v>200</v>
      </c>
      <c r="C28" s="14">
        <f t="shared" si="1"/>
        <v>199.42413419841236</v>
      </c>
      <c r="D28" s="14">
        <f t="shared" si="2"/>
        <v>8.0894345005753117</v>
      </c>
      <c r="E28" s="14">
        <f t="shared" si="3"/>
        <v>194.24134198412366</v>
      </c>
      <c r="F28" s="14">
        <f t="shared" si="4"/>
        <v>5.7586580158763354</v>
      </c>
      <c r="G28" s="14">
        <f t="shared" si="0"/>
        <v>33.162142143816773</v>
      </c>
    </row>
    <row r="29" spans="1:7" x14ac:dyDescent="0.7">
      <c r="A29">
        <v>24</v>
      </c>
      <c r="B29">
        <v>229</v>
      </c>
      <c r="C29" s="14">
        <f t="shared" si="1"/>
        <v>226.85135686989878</v>
      </c>
      <c r="D29" s="14">
        <f t="shared" si="2"/>
        <v>15.824549768939747</v>
      </c>
      <c r="E29" s="14">
        <f t="shared" si="3"/>
        <v>207.51356869898768</v>
      </c>
      <c r="F29" s="14">
        <f t="shared" si="4"/>
        <v>21.486431301012317</v>
      </c>
      <c r="G29" s="14">
        <f t="shared" si="0"/>
        <v>461.66673005312185</v>
      </c>
    </row>
    <row r="30" spans="1:7" x14ac:dyDescent="0.7">
      <c r="A30">
        <v>25</v>
      </c>
      <c r="B30">
        <v>189</v>
      </c>
      <c r="C30" s="14">
        <f t="shared" si="1"/>
        <v>194.36759066388385</v>
      </c>
      <c r="D30" s="14">
        <f t="shared" si="2"/>
        <v>-3.4987766210421185</v>
      </c>
      <c r="E30" s="14">
        <f t="shared" si="3"/>
        <v>242.67590663883851</v>
      </c>
      <c r="F30" s="14">
        <f t="shared" si="4"/>
        <v>-53.675906638838512</v>
      </c>
      <c r="G30" s="14">
        <f t="shared" si="0"/>
        <v>2881.1029535013081</v>
      </c>
    </row>
    <row r="31" spans="1:7" x14ac:dyDescent="0.7">
      <c r="A31">
        <v>26</v>
      </c>
      <c r="B31">
        <v>218</v>
      </c>
      <c r="C31" s="14">
        <f t="shared" si="1"/>
        <v>215.28688140428417</v>
      </c>
      <c r="D31" s="14">
        <f t="shared" si="2"/>
        <v>6.268450323534859</v>
      </c>
      <c r="E31" s="14">
        <f t="shared" si="3"/>
        <v>190.86881404284173</v>
      </c>
      <c r="F31" s="14">
        <f t="shared" si="4"/>
        <v>27.131185957158266</v>
      </c>
      <c r="G31" s="14">
        <f t="shared" si="0"/>
        <v>736.10125144190192</v>
      </c>
    </row>
    <row r="32" spans="1:7" x14ac:dyDescent="0.7">
      <c r="A32">
        <v>27</v>
      </c>
      <c r="B32">
        <v>185</v>
      </c>
      <c r="C32" s="14">
        <f t="shared" si="1"/>
        <v>188.6555331727819</v>
      </c>
      <c r="D32" s="14">
        <f t="shared" si="2"/>
        <v>-6.8914690984799964</v>
      </c>
      <c r="E32" s="14">
        <f t="shared" si="3"/>
        <v>221.55533172781904</v>
      </c>
      <c r="F32" s="14">
        <f t="shared" si="4"/>
        <v>-36.555331727819038</v>
      </c>
      <c r="G32" s="14">
        <f t="shared" si="0"/>
        <v>1336.2922777308931</v>
      </c>
    </row>
    <row r="33" spans="1:7" x14ac:dyDescent="0.7">
      <c r="A33">
        <v>28</v>
      </c>
      <c r="B33">
        <v>199</v>
      </c>
      <c r="C33" s="14">
        <f t="shared" si="1"/>
        <v>197.27640640743019</v>
      </c>
      <c r="D33" s="14">
        <f t="shared" si="2"/>
        <v>-0.68653216522867933</v>
      </c>
      <c r="E33" s="14">
        <f t="shared" si="3"/>
        <v>181.7640640743019</v>
      </c>
      <c r="F33" s="14">
        <f t="shared" si="4"/>
        <v>17.235935925698101</v>
      </c>
      <c r="G33" s="14">
        <f t="shared" si="0"/>
        <v>297.07748723477044</v>
      </c>
    </row>
    <row r="34" spans="1:7" x14ac:dyDescent="0.7">
      <c r="A34">
        <v>29</v>
      </c>
      <c r="B34">
        <v>210</v>
      </c>
      <c r="C34" s="14">
        <f t="shared" si="1"/>
        <v>208.65898742422016</v>
      </c>
      <c r="D34" s="14">
        <f t="shared" si="2"/>
        <v>4.141113107578775</v>
      </c>
      <c r="E34" s="14">
        <f t="shared" si="3"/>
        <v>196.58987424220152</v>
      </c>
      <c r="F34" s="14">
        <f t="shared" si="4"/>
        <v>13.410125757798482</v>
      </c>
      <c r="G34" s="14">
        <f t="shared" si="0"/>
        <v>179.83147283997033</v>
      </c>
    </row>
    <row r="35" spans="1:7" x14ac:dyDescent="0.7">
      <c r="A35">
        <v>30</v>
      </c>
      <c r="B35">
        <v>193</v>
      </c>
      <c r="C35" s="14">
        <f t="shared" si="1"/>
        <v>194.98001005317988</v>
      </c>
      <c r="D35" s="14">
        <f t="shared" si="2"/>
        <v>-2.9869230838688416</v>
      </c>
      <c r="E35" s="14">
        <f t="shared" si="3"/>
        <v>212.80010053179893</v>
      </c>
      <c r="F35" s="14">
        <f t="shared" si="4"/>
        <v>-19.800100531798932</v>
      </c>
      <c r="G35" s="14">
        <f t="shared" si="0"/>
        <v>392.04398106934434</v>
      </c>
    </row>
    <row r="36" spans="1:7" x14ac:dyDescent="0.7">
      <c r="A36">
        <v>31</v>
      </c>
      <c r="B36">
        <v>211</v>
      </c>
      <c r="C36" s="14">
        <f t="shared" si="1"/>
        <v>209.0993086969311</v>
      </c>
      <c r="D36" s="14">
        <f t="shared" si="2"/>
        <v>3.8555656071791864</v>
      </c>
      <c r="E36" s="14">
        <f t="shared" si="3"/>
        <v>191.99308696931104</v>
      </c>
      <c r="F36" s="14">
        <f t="shared" si="4"/>
        <v>19.006913030688963</v>
      </c>
      <c r="G36" s="14">
        <f t="shared" si="0"/>
        <v>361.26274295617389</v>
      </c>
    </row>
    <row r="37" spans="1:7" x14ac:dyDescent="0.7">
      <c r="A37">
        <v>32</v>
      </c>
      <c r="B37">
        <v>208</v>
      </c>
      <c r="C37" s="14">
        <f t="shared" si="1"/>
        <v>208.49548743041103</v>
      </c>
      <c r="D37" s="14">
        <f t="shared" si="2"/>
        <v>2.0718108576994814</v>
      </c>
      <c r="E37" s="14">
        <f t="shared" si="3"/>
        <v>212.95487430411029</v>
      </c>
      <c r="F37" s="14">
        <f t="shared" si="4"/>
        <v>-4.954874304110291</v>
      </c>
      <c r="G37" s="14">
        <f t="shared" si="0"/>
        <v>24.550779369532439</v>
      </c>
    </row>
    <row r="38" spans="1:7" x14ac:dyDescent="0.7">
      <c r="A38">
        <v>33</v>
      </c>
      <c r="B38">
        <v>216</v>
      </c>
      <c r="C38" s="14">
        <f t="shared" si="1"/>
        <v>215.45672982881106</v>
      </c>
      <c r="D38" s="14">
        <f t="shared" si="2"/>
        <v>4.0275834739796936</v>
      </c>
      <c r="E38" s="14">
        <f t="shared" si="3"/>
        <v>210.56729828811052</v>
      </c>
      <c r="F38" s="14">
        <f t="shared" si="4"/>
        <v>5.4327017118894787</v>
      </c>
      <c r="G38" s="14">
        <f t="shared" si="0"/>
        <v>29.514247890366871</v>
      </c>
    </row>
    <row r="39" spans="1:7" x14ac:dyDescent="0.7">
      <c r="A39">
        <v>34</v>
      </c>
      <c r="B39">
        <v>218</v>
      </c>
      <c r="C39" s="14">
        <f t="shared" si="1"/>
        <v>218.14843133027907</v>
      </c>
      <c r="D39" s="14">
        <f t="shared" si="2"/>
        <v>3.4932306849750225</v>
      </c>
      <c r="E39" s="14">
        <f t="shared" si="3"/>
        <v>219.48431330279075</v>
      </c>
      <c r="F39" s="14">
        <f t="shared" si="4"/>
        <v>-1.4843133027907527</v>
      </c>
      <c r="G39" s="14">
        <f t="shared" si="0"/>
        <v>2.2031859808415928</v>
      </c>
    </row>
    <row r="40" spans="1:7" x14ac:dyDescent="0.7">
      <c r="A40">
        <v>35</v>
      </c>
      <c r="B40">
        <v>264</v>
      </c>
      <c r="C40" s="14">
        <f t="shared" si="1"/>
        <v>259.76416620152543</v>
      </c>
      <c r="D40" s="14">
        <f t="shared" si="2"/>
        <v>18.742232359483548</v>
      </c>
      <c r="E40" s="14">
        <f t="shared" si="3"/>
        <v>221.6416620152541</v>
      </c>
      <c r="F40" s="14">
        <f t="shared" si="4"/>
        <v>42.358337984745901</v>
      </c>
      <c r="G40" s="14">
        <f t="shared" si="0"/>
        <v>1794.2287968299675</v>
      </c>
    </row>
    <row r="41" spans="1:7" x14ac:dyDescent="0.7">
      <c r="A41">
        <v>36</v>
      </c>
      <c r="B41">
        <v>304</v>
      </c>
      <c r="C41" s="14">
        <f t="shared" si="1"/>
        <v>301.45063985610091</v>
      </c>
      <c r="D41" s="14">
        <f t="shared" si="2"/>
        <v>27.919928877520327</v>
      </c>
      <c r="E41" s="14">
        <f t="shared" si="3"/>
        <v>278.50639856100895</v>
      </c>
      <c r="F41" s="14">
        <f t="shared" si="4"/>
        <v>25.49360143899105</v>
      </c>
      <c r="G41" s="14">
        <f t="shared" si="0"/>
        <v>649.92371433012647</v>
      </c>
    </row>
    <row r="42" spans="1:7" x14ac:dyDescent="0.7">
      <c r="A42" s="15">
        <v>37</v>
      </c>
      <c r="B42" s="16">
        <f>$C$41+$D$41*(A42-$A$41)</f>
        <v>329.37056873362121</v>
      </c>
    </row>
    <row r="43" spans="1:7" x14ac:dyDescent="0.7">
      <c r="A43" s="15">
        <v>38</v>
      </c>
      <c r="B43" s="16">
        <f t="shared" ref="B43:B53" si="5">$C$41+$D$41*(A43-$A$41)</f>
        <v>357.29049761114157</v>
      </c>
    </row>
    <row r="44" spans="1:7" x14ac:dyDescent="0.7">
      <c r="A44" s="15">
        <v>39</v>
      </c>
      <c r="B44" s="16">
        <f t="shared" si="5"/>
        <v>385.21042648866188</v>
      </c>
    </row>
    <row r="45" spans="1:7" x14ac:dyDescent="0.7">
      <c r="A45" s="15">
        <v>40</v>
      </c>
      <c r="B45" s="16">
        <f t="shared" si="5"/>
        <v>413.13035536618224</v>
      </c>
    </row>
    <row r="46" spans="1:7" x14ac:dyDescent="0.7">
      <c r="A46" s="15">
        <v>41</v>
      </c>
      <c r="B46" s="16">
        <f t="shared" si="5"/>
        <v>441.05028424370255</v>
      </c>
    </row>
    <row r="47" spans="1:7" x14ac:dyDescent="0.7">
      <c r="A47" s="15">
        <v>42</v>
      </c>
      <c r="B47" s="16">
        <f t="shared" si="5"/>
        <v>468.97021312122286</v>
      </c>
    </row>
    <row r="48" spans="1:7" x14ac:dyDescent="0.7">
      <c r="A48" s="15">
        <v>43</v>
      </c>
      <c r="B48" s="16">
        <f t="shared" si="5"/>
        <v>496.89014199874316</v>
      </c>
    </row>
    <row r="49" spans="1:2" x14ac:dyDescent="0.7">
      <c r="A49" s="15">
        <v>44</v>
      </c>
      <c r="B49" s="16">
        <f t="shared" si="5"/>
        <v>524.81007087626358</v>
      </c>
    </row>
    <row r="50" spans="1:2" x14ac:dyDescent="0.7">
      <c r="A50" s="15">
        <v>45</v>
      </c>
      <c r="B50" s="16">
        <f t="shared" si="5"/>
        <v>552.72999975378389</v>
      </c>
    </row>
    <row r="51" spans="1:2" x14ac:dyDescent="0.7">
      <c r="A51" s="15">
        <v>46</v>
      </c>
      <c r="B51" s="16">
        <f t="shared" si="5"/>
        <v>580.64992863130419</v>
      </c>
    </row>
    <row r="52" spans="1:2" x14ac:dyDescent="0.7">
      <c r="A52" s="15">
        <v>47</v>
      </c>
      <c r="B52" s="16">
        <f t="shared" si="5"/>
        <v>608.5698575088245</v>
      </c>
    </row>
    <row r="53" spans="1:2" x14ac:dyDescent="0.7">
      <c r="A53" s="15">
        <v>48</v>
      </c>
      <c r="B53" s="16">
        <f t="shared" si="5"/>
        <v>636.4897863863448</v>
      </c>
    </row>
  </sheetData>
  <phoneticPr fontId="4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42"/>
  <sheetViews>
    <sheetView topLeftCell="C1" workbookViewId="0">
      <pane ySplit="1" topLeftCell="A34" activePane="bottomLeft" state="frozen"/>
      <selection pane="bottomLeft" activeCell="E45" sqref="E45"/>
    </sheetView>
  </sheetViews>
  <sheetFormatPr defaultRowHeight="19.149999999999999" x14ac:dyDescent="0.7"/>
  <cols>
    <col min="2" max="2" width="14.33203125" bestFit="1" customWidth="1"/>
    <col min="3" max="3" width="20.5546875" bestFit="1" customWidth="1"/>
  </cols>
  <sheetData>
    <row r="1" spans="1:15" x14ac:dyDescent="0.7">
      <c r="A1" t="s">
        <v>1</v>
      </c>
      <c r="B1" t="s">
        <v>15</v>
      </c>
      <c r="C1" t="s">
        <v>16</v>
      </c>
      <c r="D1">
        <v>1</v>
      </c>
      <c r="E1">
        <v>2</v>
      </c>
      <c r="F1">
        <v>3</v>
      </c>
      <c r="G1">
        <v>4</v>
      </c>
      <c r="H1">
        <v>5</v>
      </c>
      <c r="I1">
        <v>6</v>
      </c>
      <c r="J1">
        <v>7</v>
      </c>
      <c r="K1">
        <v>8</v>
      </c>
      <c r="L1">
        <v>9</v>
      </c>
      <c r="M1">
        <v>10</v>
      </c>
      <c r="N1">
        <v>11</v>
      </c>
      <c r="O1">
        <v>12</v>
      </c>
    </row>
    <row r="2" spans="1:15" x14ac:dyDescent="0.7">
      <c r="A2">
        <v>1</v>
      </c>
      <c r="B2">
        <v>8.2830999999999904</v>
      </c>
      <c r="C2">
        <f>B2-$B$38</f>
        <v>4.7066950583802409</v>
      </c>
    </row>
    <row r="3" spans="1:15" x14ac:dyDescent="0.7">
      <c r="A3">
        <v>2</v>
      </c>
      <c r="B3">
        <v>7.6968211527522783</v>
      </c>
      <c r="C3">
        <f t="shared" ref="C3:C37" si="0">B3-$B$38</f>
        <v>4.1204162111325289</v>
      </c>
      <c r="D3">
        <f>C2</f>
        <v>4.7066950583802409</v>
      </c>
      <c r="E3">
        <f t="shared" ref="E3:O3" si="1">D2</f>
        <v>0</v>
      </c>
      <c r="F3">
        <f t="shared" si="1"/>
        <v>0</v>
      </c>
      <c r="G3">
        <f t="shared" si="1"/>
        <v>0</v>
      </c>
      <c r="H3">
        <f t="shared" si="1"/>
        <v>0</v>
      </c>
      <c r="I3">
        <f t="shared" si="1"/>
        <v>0</v>
      </c>
      <c r="J3">
        <f t="shared" si="1"/>
        <v>0</v>
      </c>
      <c r="K3">
        <f t="shared" si="1"/>
        <v>0</v>
      </c>
      <c r="L3">
        <f t="shared" si="1"/>
        <v>0</v>
      </c>
      <c r="M3">
        <f t="shared" si="1"/>
        <v>0</v>
      </c>
      <c r="N3">
        <f t="shared" si="1"/>
        <v>0</v>
      </c>
      <c r="O3">
        <f t="shared" si="1"/>
        <v>0</v>
      </c>
    </row>
    <row r="4" spans="1:15" x14ac:dyDescent="0.7">
      <c r="A4">
        <v>3</v>
      </c>
      <c r="B4">
        <v>-22.772503472233609</v>
      </c>
      <c r="C4">
        <f t="shared" si="0"/>
        <v>-26.348908413853358</v>
      </c>
      <c r="D4">
        <f t="shared" ref="D4:O37" si="2">C3</f>
        <v>4.1204162111325289</v>
      </c>
      <c r="E4">
        <f t="shared" si="2"/>
        <v>4.7066950583802409</v>
      </c>
      <c r="F4">
        <f t="shared" si="2"/>
        <v>0</v>
      </c>
      <c r="G4">
        <f t="shared" si="2"/>
        <v>0</v>
      </c>
      <c r="H4">
        <f t="shared" si="2"/>
        <v>0</v>
      </c>
      <c r="I4">
        <f t="shared" si="2"/>
        <v>0</v>
      </c>
      <c r="J4">
        <f t="shared" si="2"/>
        <v>0</v>
      </c>
      <c r="K4">
        <f t="shared" si="2"/>
        <v>0</v>
      </c>
      <c r="L4">
        <f t="shared" si="2"/>
        <v>0</v>
      </c>
      <c r="M4">
        <f t="shared" si="2"/>
        <v>0</v>
      </c>
      <c r="N4">
        <f t="shared" si="2"/>
        <v>0</v>
      </c>
      <c r="O4">
        <f t="shared" si="2"/>
        <v>0</v>
      </c>
    </row>
    <row r="5" spans="1:15" x14ac:dyDescent="0.7">
      <c r="A5">
        <v>4</v>
      </c>
      <c r="B5">
        <v>-12.362240942977706</v>
      </c>
      <c r="C5">
        <f t="shared" si="0"/>
        <v>-15.938645884597456</v>
      </c>
      <c r="D5">
        <f t="shared" si="2"/>
        <v>-26.348908413853358</v>
      </c>
      <c r="E5">
        <f t="shared" si="2"/>
        <v>4.1204162111325289</v>
      </c>
      <c r="F5">
        <f t="shared" si="2"/>
        <v>4.7066950583802409</v>
      </c>
      <c r="G5">
        <f t="shared" si="2"/>
        <v>0</v>
      </c>
      <c r="H5">
        <f t="shared" si="2"/>
        <v>0</v>
      </c>
      <c r="I5">
        <f t="shared" si="2"/>
        <v>0</v>
      </c>
      <c r="J5">
        <f t="shared" si="2"/>
        <v>0</v>
      </c>
      <c r="K5">
        <f t="shared" si="2"/>
        <v>0</v>
      </c>
      <c r="L5">
        <f t="shared" si="2"/>
        <v>0</v>
      </c>
      <c r="M5">
        <f t="shared" si="2"/>
        <v>0</v>
      </c>
      <c r="N5">
        <f t="shared" si="2"/>
        <v>0</v>
      </c>
      <c r="O5">
        <f t="shared" si="2"/>
        <v>0</v>
      </c>
    </row>
    <row r="6" spans="1:15" x14ac:dyDescent="0.7">
      <c r="A6">
        <v>5</v>
      </c>
      <c r="B6">
        <v>16.61941379264232</v>
      </c>
      <c r="C6">
        <f t="shared" si="0"/>
        <v>13.04300885102257</v>
      </c>
      <c r="D6">
        <f t="shared" si="2"/>
        <v>-15.938645884597456</v>
      </c>
      <c r="E6">
        <f t="shared" si="2"/>
        <v>-26.348908413853358</v>
      </c>
      <c r="F6">
        <f t="shared" si="2"/>
        <v>4.1204162111325289</v>
      </c>
      <c r="G6">
        <f t="shared" si="2"/>
        <v>4.7066950583802409</v>
      </c>
      <c r="H6">
        <f t="shared" si="2"/>
        <v>0</v>
      </c>
      <c r="I6">
        <f t="shared" si="2"/>
        <v>0</v>
      </c>
      <c r="J6">
        <f t="shared" si="2"/>
        <v>0</v>
      </c>
      <c r="K6">
        <f t="shared" si="2"/>
        <v>0</v>
      </c>
      <c r="L6">
        <f t="shared" si="2"/>
        <v>0</v>
      </c>
      <c r="M6">
        <f t="shared" si="2"/>
        <v>0</v>
      </c>
      <c r="N6">
        <f t="shared" si="2"/>
        <v>0</v>
      </c>
      <c r="O6">
        <f t="shared" si="2"/>
        <v>0</v>
      </c>
    </row>
    <row r="7" spans="1:15" x14ac:dyDescent="0.7">
      <c r="A7">
        <v>6</v>
      </c>
      <c r="B7">
        <v>0.91742146176443384</v>
      </c>
      <c r="C7">
        <f t="shared" si="0"/>
        <v>-2.6589834798553156</v>
      </c>
      <c r="D7">
        <f t="shared" si="2"/>
        <v>13.04300885102257</v>
      </c>
      <c r="E7">
        <f t="shared" si="2"/>
        <v>-15.938645884597456</v>
      </c>
      <c r="F7">
        <f t="shared" si="2"/>
        <v>-26.348908413853358</v>
      </c>
      <c r="G7">
        <f t="shared" si="2"/>
        <v>4.1204162111325289</v>
      </c>
      <c r="H7">
        <f t="shared" si="2"/>
        <v>4.7066950583802409</v>
      </c>
      <c r="I7">
        <f t="shared" si="2"/>
        <v>0</v>
      </c>
      <c r="J7">
        <f t="shared" si="2"/>
        <v>0</v>
      </c>
      <c r="K7">
        <f t="shared" si="2"/>
        <v>0</v>
      </c>
      <c r="L7">
        <f t="shared" si="2"/>
        <v>0</v>
      </c>
      <c r="M7">
        <f t="shared" si="2"/>
        <v>0</v>
      </c>
      <c r="N7">
        <f t="shared" si="2"/>
        <v>0</v>
      </c>
      <c r="O7">
        <f t="shared" si="2"/>
        <v>0</v>
      </c>
    </row>
    <row r="8" spans="1:15" x14ac:dyDescent="0.7">
      <c r="A8">
        <v>7</v>
      </c>
      <c r="B8">
        <v>-8.4675060188048974</v>
      </c>
      <c r="C8">
        <f t="shared" si="0"/>
        <v>-12.043910960424647</v>
      </c>
      <c r="D8">
        <f t="shared" si="2"/>
        <v>-2.6589834798553156</v>
      </c>
      <c r="E8">
        <f t="shared" si="2"/>
        <v>13.04300885102257</v>
      </c>
      <c r="F8">
        <f t="shared" si="2"/>
        <v>-15.938645884597456</v>
      </c>
      <c r="G8">
        <f t="shared" si="2"/>
        <v>-26.348908413853358</v>
      </c>
      <c r="H8">
        <f t="shared" si="2"/>
        <v>4.1204162111325289</v>
      </c>
      <c r="I8">
        <f t="shared" si="2"/>
        <v>4.7066950583802409</v>
      </c>
      <c r="J8">
        <f t="shared" si="2"/>
        <v>0</v>
      </c>
      <c r="K8">
        <f t="shared" si="2"/>
        <v>0</v>
      </c>
      <c r="L8">
        <f t="shared" si="2"/>
        <v>0</v>
      </c>
      <c r="M8">
        <f t="shared" si="2"/>
        <v>0</v>
      </c>
      <c r="N8">
        <f t="shared" si="2"/>
        <v>0</v>
      </c>
      <c r="O8">
        <f t="shared" si="2"/>
        <v>0</v>
      </c>
    </row>
    <row r="9" spans="1:15" x14ac:dyDescent="0.7">
      <c r="A9">
        <v>8</v>
      </c>
      <c r="B9">
        <v>-5.3703841749830303</v>
      </c>
      <c r="C9">
        <f t="shared" si="0"/>
        <v>-8.9467891166027798</v>
      </c>
      <c r="D9">
        <f t="shared" si="2"/>
        <v>-12.043910960424647</v>
      </c>
      <c r="E9">
        <f t="shared" si="2"/>
        <v>-2.6589834798553156</v>
      </c>
      <c r="F9">
        <f t="shared" si="2"/>
        <v>13.04300885102257</v>
      </c>
      <c r="G9">
        <f t="shared" si="2"/>
        <v>-15.938645884597456</v>
      </c>
      <c r="H9">
        <f t="shared" si="2"/>
        <v>-26.348908413853358</v>
      </c>
      <c r="I9">
        <f t="shared" si="2"/>
        <v>4.1204162111325289</v>
      </c>
      <c r="J9">
        <f t="shared" si="2"/>
        <v>4.7066950583802409</v>
      </c>
      <c r="K9">
        <f t="shared" si="2"/>
        <v>0</v>
      </c>
      <c r="L9">
        <f t="shared" si="2"/>
        <v>0</v>
      </c>
      <c r="M9">
        <f t="shared" si="2"/>
        <v>0</v>
      </c>
      <c r="N9">
        <f t="shared" si="2"/>
        <v>0</v>
      </c>
      <c r="O9">
        <f t="shared" si="2"/>
        <v>0</v>
      </c>
    </row>
    <row r="10" spans="1:15" x14ac:dyDescent="0.7">
      <c r="A10">
        <v>9</v>
      </c>
      <c r="B10">
        <v>6.8734393039354416</v>
      </c>
      <c r="C10">
        <f t="shared" si="0"/>
        <v>3.2970343623156921</v>
      </c>
      <c r="D10">
        <f t="shared" si="2"/>
        <v>-8.9467891166027798</v>
      </c>
      <c r="E10">
        <f t="shared" si="2"/>
        <v>-12.043910960424647</v>
      </c>
      <c r="F10">
        <f t="shared" si="2"/>
        <v>-2.6589834798553156</v>
      </c>
      <c r="G10">
        <f t="shared" si="2"/>
        <v>13.04300885102257</v>
      </c>
      <c r="H10">
        <f t="shared" si="2"/>
        <v>-15.938645884597456</v>
      </c>
      <c r="I10">
        <f t="shared" si="2"/>
        <v>-26.348908413853358</v>
      </c>
      <c r="J10">
        <f t="shared" si="2"/>
        <v>4.1204162111325289</v>
      </c>
      <c r="K10">
        <f t="shared" si="2"/>
        <v>4.7066950583802409</v>
      </c>
      <c r="L10">
        <f t="shared" si="2"/>
        <v>0</v>
      </c>
      <c r="M10">
        <f t="shared" si="2"/>
        <v>0</v>
      </c>
      <c r="N10">
        <f t="shared" si="2"/>
        <v>0</v>
      </c>
      <c r="O10">
        <f t="shared" si="2"/>
        <v>0</v>
      </c>
    </row>
    <row r="11" spans="1:15" x14ac:dyDescent="0.7">
      <c r="A11">
        <v>10</v>
      </c>
      <c r="B11">
        <v>11.80672261149104</v>
      </c>
      <c r="C11">
        <f t="shared" si="0"/>
        <v>8.2303176698712903</v>
      </c>
      <c r="D11">
        <f t="shared" si="2"/>
        <v>3.2970343623156921</v>
      </c>
      <c r="E11">
        <f t="shared" si="2"/>
        <v>-8.9467891166027798</v>
      </c>
      <c r="F11">
        <f t="shared" si="2"/>
        <v>-12.043910960424647</v>
      </c>
      <c r="G11">
        <f t="shared" si="2"/>
        <v>-2.6589834798553156</v>
      </c>
      <c r="H11">
        <f t="shared" si="2"/>
        <v>13.04300885102257</v>
      </c>
      <c r="I11">
        <f t="shared" si="2"/>
        <v>-15.938645884597456</v>
      </c>
      <c r="J11">
        <f t="shared" si="2"/>
        <v>-26.348908413853358</v>
      </c>
      <c r="K11">
        <f t="shared" si="2"/>
        <v>4.1204162111325289</v>
      </c>
      <c r="L11">
        <f t="shared" si="2"/>
        <v>4.7066950583802409</v>
      </c>
      <c r="M11">
        <f t="shared" si="2"/>
        <v>0</v>
      </c>
      <c r="N11">
        <f t="shared" si="2"/>
        <v>0</v>
      </c>
      <c r="O11">
        <f t="shared" si="2"/>
        <v>0</v>
      </c>
    </row>
    <row r="12" spans="1:15" x14ac:dyDescent="0.7">
      <c r="A12">
        <v>11</v>
      </c>
      <c r="B12">
        <v>7.0751308890001496</v>
      </c>
      <c r="C12">
        <f t="shared" si="0"/>
        <v>3.4987259473804002</v>
      </c>
      <c r="D12">
        <f t="shared" si="2"/>
        <v>8.2303176698712903</v>
      </c>
      <c r="E12">
        <f t="shared" si="2"/>
        <v>3.2970343623156921</v>
      </c>
      <c r="F12">
        <f t="shared" si="2"/>
        <v>-8.9467891166027798</v>
      </c>
      <c r="G12">
        <f t="shared" si="2"/>
        <v>-12.043910960424647</v>
      </c>
      <c r="H12">
        <f t="shared" si="2"/>
        <v>-2.6589834798553156</v>
      </c>
      <c r="I12">
        <f t="shared" si="2"/>
        <v>13.04300885102257</v>
      </c>
      <c r="J12">
        <f t="shared" si="2"/>
        <v>-15.938645884597456</v>
      </c>
      <c r="K12">
        <f t="shared" si="2"/>
        <v>-26.348908413853358</v>
      </c>
      <c r="L12">
        <f t="shared" si="2"/>
        <v>4.1204162111325289</v>
      </c>
      <c r="M12">
        <f t="shared" si="2"/>
        <v>4.7066950583802409</v>
      </c>
      <c r="N12">
        <f t="shared" si="2"/>
        <v>0</v>
      </c>
      <c r="O12">
        <f t="shared" si="2"/>
        <v>0</v>
      </c>
    </row>
    <row r="13" spans="1:15" x14ac:dyDescent="0.7">
      <c r="A13">
        <v>12</v>
      </c>
      <c r="B13">
        <v>31.214434250659792</v>
      </c>
      <c r="C13">
        <f t="shared" si="0"/>
        <v>27.638029309040043</v>
      </c>
      <c r="D13">
        <f t="shared" si="2"/>
        <v>3.4987259473804002</v>
      </c>
      <c r="E13">
        <f t="shared" si="2"/>
        <v>8.2303176698712903</v>
      </c>
      <c r="F13">
        <f t="shared" si="2"/>
        <v>3.2970343623156921</v>
      </c>
      <c r="G13">
        <f t="shared" si="2"/>
        <v>-8.9467891166027798</v>
      </c>
      <c r="H13">
        <f t="shared" si="2"/>
        <v>-12.043910960424647</v>
      </c>
      <c r="I13">
        <f t="shared" si="2"/>
        <v>-2.6589834798553156</v>
      </c>
      <c r="J13">
        <f t="shared" si="2"/>
        <v>13.04300885102257</v>
      </c>
      <c r="K13">
        <f t="shared" si="2"/>
        <v>-15.938645884597456</v>
      </c>
      <c r="L13">
        <f t="shared" si="2"/>
        <v>-26.348908413853358</v>
      </c>
      <c r="M13">
        <f t="shared" si="2"/>
        <v>4.1204162111325289</v>
      </c>
      <c r="N13">
        <f t="shared" si="2"/>
        <v>4.7066950583802409</v>
      </c>
      <c r="O13">
        <f t="shared" si="2"/>
        <v>0</v>
      </c>
    </row>
    <row r="14" spans="1:15" x14ac:dyDescent="0.7">
      <c r="A14">
        <v>13</v>
      </c>
      <c r="B14">
        <v>-25.649280562545044</v>
      </c>
      <c r="C14">
        <f t="shared" si="0"/>
        <v>-29.225685504164794</v>
      </c>
      <c r="D14">
        <f t="shared" si="2"/>
        <v>27.638029309040043</v>
      </c>
      <c r="E14">
        <f t="shared" si="2"/>
        <v>3.4987259473804002</v>
      </c>
      <c r="F14">
        <f t="shared" si="2"/>
        <v>8.2303176698712903</v>
      </c>
      <c r="G14">
        <f t="shared" si="2"/>
        <v>3.2970343623156921</v>
      </c>
      <c r="H14">
        <f t="shared" si="2"/>
        <v>-8.9467891166027798</v>
      </c>
      <c r="I14">
        <f t="shared" si="2"/>
        <v>-12.043910960424647</v>
      </c>
      <c r="J14">
        <f t="shared" si="2"/>
        <v>-2.6589834798553156</v>
      </c>
      <c r="K14">
        <f t="shared" si="2"/>
        <v>13.04300885102257</v>
      </c>
      <c r="L14">
        <f t="shared" si="2"/>
        <v>-15.938645884597456</v>
      </c>
      <c r="M14">
        <f t="shared" si="2"/>
        <v>-26.348908413853358</v>
      </c>
      <c r="N14">
        <f t="shared" si="2"/>
        <v>4.1204162111325289</v>
      </c>
      <c r="O14">
        <f t="shared" si="2"/>
        <v>4.7066950583802409</v>
      </c>
    </row>
    <row r="15" spans="1:15" x14ac:dyDescent="0.7">
      <c r="A15">
        <v>14</v>
      </c>
      <c r="B15">
        <v>-13.136150652246158</v>
      </c>
      <c r="C15">
        <f t="shared" si="0"/>
        <v>-16.712555593865908</v>
      </c>
      <c r="D15">
        <f t="shared" si="2"/>
        <v>-29.225685504164794</v>
      </c>
      <c r="E15">
        <f t="shared" si="2"/>
        <v>27.638029309040043</v>
      </c>
      <c r="F15">
        <f t="shared" si="2"/>
        <v>3.4987259473804002</v>
      </c>
      <c r="G15">
        <f t="shared" si="2"/>
        <v>8.2303176698712903</v>
      </c>
      <c r="H15">
        <f t="shared" si="2"/>
        <v>3.2970343623156921</v>
      </c>
      <c r="I15">
        <f t="shared" si="2"/>
        <v>-8.9467891166027798</v>
      </c>
      <c r="J15">
        <f t="shared" si="2"/>
        <v>-12.043910960424647</v>
      </c>
      <c r="K15">
        <f t="shared" si="2"/>
        <v>-2.6589834798553156</v>
      </c>
      <c r="L15">
        <f t="shared" si="2"/>
        <v>13.04300885102257</v>
      </c>
      <c r="M15">
        <f t="shared" si="2"/>
        <v>-15.938645884597456</v>
      </c>
      <c r="N15">
        <f t="shared" si="2"/>
        <v>-26.348908413853358</v>
      </c>
      <c r="O15">
        <f t="shared" si="2"/>
        <v>4.1204162111325289</v>
      </c>
    </row>
    <row r="16" spans="1:15" x14ac:dyDescent="0.7">
      <c r="A16">
        <v>15</v>
      </c>
      <c r="B16">
        <v>-9.4105342309278797</v>
      </c>
      <c r="C16">
        <f t="shared" si="0"/>
        <v>-12.986939172547629</v>
      </c>
      <c r="D16">
        <f t="shared" si="2"/>
        <v>-16.712555593865908</v>
      </c>
      <c r="E16">
        <f t="shared" si="2"/>
        <v>-29.225685504164794</v>
      </c>
      <c r="F16">
        <f t="shared" si="2"/>
        <v>27.638029309040043</v>
      </c>
      <c r="G16">
        <f t="shared" si="2"/>
        <v>3.4987259473804002</v>
      </c>
      <c r="H16">
        <f t="shared" si="2"/>
        <v>8.2303176698712903</v>
      </c>
      <c r="I16">
        <f t="shared" si="2"/>
        <v>3.2970343623156921</v>
      </c>
      <c r="J16">
        <f t="shared" si="2"/>
        <v>-8.9467891166027798</v>
      </c>
      <c r="K16">
        <f t="shared" si="2"/>
        <v>-12.043910960424647</v>
      </c>
      <c r="L16">
        <f t="shared" si="2"/>
        <v>-2.6589834798553156</v>
      </c>
      <c r="M16">
        <f t="shared" si="2"/>
        <v>13.04300885102257</v>
      </c>
      <c r="N16">
        <f t="shared" si="2"/>
        <v>-15.938645884597456</v>
      </c>
      <c r="O16">
        <f t="shared" si="2"/>
        <v>-26.348908413853358</v>
      </c>
    </row>
    <row r="17" spans="1:15" x14ac:dyDescent="0.7">
      <c r="A17">
        <v>16</v>
      </c>
      <c r="B17">
        <v>-18.811013160903883</v>
      </c>
      <c r="C17">
        <f t="shared" si="0"/>
        <v>-22.387418102523633</v>
      </c>
      <c r="D17">
        <f t="shared" si="2"/>
        <v>-12.986939172547629</v>
      </c>
      <c r="E17">
        <f t="shared" si="2"/>
        <v>-16.712555593865908</v>
      </c>
      <c r="F17">
        <f t="shared" si="2"/>
        <v>-29.225685504164794</v>
      </c>
      <c r="G17">
        <f t="shared" si="2"/>
        <v>27.638029309040043</v>
      </c>
      <c r="H17">
        <f t="shared" si="2"/>
        <v>3.4987259473804002</v>
      </c>
      <c r="I17">
        <f t="shared" si="2"/>
        <v>8.2303176698712903</v>
      </c>
      <c r="J17">
        <f t="shared" si="2"/>
        <v>3.2970343623156921</v>
      </c>
      <c r="K17">
        <f t="shared" si="2"/>
        <v>-8.9467891166027798</v>
      </c>
      <c r="L17">
        <f t="shared" si="2"/>
        <v>-12.043910960424647</v>
      </c>
      <c r="M17">
        <f t="shared" si="2"/>
        <v>-2.6589834798553156</v>
      </c>
      <c r="N17">
        <f t="shared" si="2"/>
        <v>13.04300885102257</v>
      </c>
      <c r="O17">
        <f t="shared" si="2"/>
        <v>-15.938645884597456</v>
      </c>
    </row>
    <row r="18" spans="1:15" x14ac:dyDescent="0.7">
      <c r="A18">
        <v>17</v>
      </c>
      <c r="B18">
        <v>34.642928628774968</v>
      </c>
      <c r="C18">
        <f t="shared" si="0"/>
        <v>31.066523687155218</v>
      </c>
      <c r="D18">
        <f t="shared" si="2"/>
        <v>-22.387418102523633</v>
      </c>
      <c r="E18">
        <f t="shared" si="2"/>
        <v>-12.986939172547629</v>
      </c>
      <c r="F18">
        <f t="shared" si="2"/>
        <v>-16.712555593865908</v>
      </c>
      <c r="G18">
        <f t="shared" si="2"/>
        <v>-29.225685504164794</v>
      </c>
      <c r="H18">
        <f t="shared" si="2"/>
        <v>27.638029309040043</v>
      </c>
      <c r="I18">
        <f t="shared" si="2"/>
        <v>3.4987259473804002</v>
      </c>
      <c r="J18">
        <f t="shared" si="2"/>
        <v>8.2303176698712903</v>
      </c>
      <c r="K18">
        <f t="shared" si="2"/>
        <v>3.2970343623156921</v>
      </c>
      <c r="L18">
        <f t="shared" si="2"/>
        <v>-8.9467891166027798</v>
      </c>
      <c r="M18">
        <f t="shared" si="2"/>
        <v>-12.043910960424647</v>
      </c>
      <c r="N18">
        <f t="shared" si="2"/>
        <v>-2.6589834798553156</v>
      </c>
      <c r="O18">
        <f t="shared" si="2"/>
        <v>13.04300885102257</v>
      </c>
    </row>
    <row r="19" spans="1:15" x14ac:dyDescent="0.7">
      <c r="A19">
        <v>18</v>
      </c>
      <c r="B19">
        <v>-16.347456348276381</v>
      </c>
      <c r="C19">
        <f t="shared" si="0"/>
        <v>-19.923861289896131</v>
      </c>
      <c r="D19">
        <f t="shared" si="2"/>
        <v>31.066523687155218</v>
      </c>
      <c r="E19">
        <f t="shared" si="2"/>
        <v>-22.387418102523633</v>
      </c>
      <c r="F19">
        <f t="shared" si="2"/>
        <v>-12.986939172547629</v>
      </c>
      <c r="G19">
        <f t="shared" si="2"/>
        <v>-16.712555593865908</v>
      </c>
      <c r="H19">
        <f t="shared" si="2"/>
        <v>-29.225685504164794</v>
      </c>
      <c r="I19">
        <f t="shared" si="2"/>
        <v>27.638029309040043</v>
      </c>
      <c r="J19">
        <f t="shared" si="2"/>
        <v>3.4987259473804002</v>
      </c>
      <c r="K19">
        <f t="shared" si="2"/>
        <v>8.2303176698712903</v>
      </c>
      <c r="L19">
        <f t="shared" si="2"/>
        <v>3.2970343623156921</v>
      </c>
      <c r="M19">
        <f t="shared" si="2"/>
        <v>-8.9467891166027798</v>
      </c>
      <c r="N19">
        <f t="shared" si="2"/>
        <v>-12.043910960424647</v>
      </c>
      <c r="O19">
        <f t="shared" si="2"/>
        <v>-2.6589834798553156</v>
      </c>
    </row>
    <row r="20" spans="1:15" x14ac:dyDescent="0.7">
      <c r="A20">
        <v>19</v>
      </c>
      <c r="B20">
        <v>-5.1577609688828829</v>
      </c>
      <c r="C20">
        <f t="shared" si="0"/>
        <v>-8.7341659105026324</v>
      </c>
      <c r="D20">
        <f t="shared" si="2"/>
        <v>-19.923861289896131</v>
      </c>
      <c r="E20">
        <f t="shared" si="2"/>
        <v>31.066523687155218</v>
      </c>
      <c r="F20">
        <f t="shared" si="2"/>
        <v>-22.387418102523633</v>
      </c>
      <c r="G20">
        <f t="shared" si="2"/>
        <v>-12.986939172547629</v>
      </c>
      <c r="H20">
        <f t="shared" si="2"/>
        <v>-16.712555593865908</v>
      </c>
      <c r="I20">
        <f t="shared" si="2"/>
        <v>-29.225685504164794</v>
      </c>
      <c r="J20">
        <f t="shared" si="2"/>
        <v>27.638029309040043</v>
      </c>
      <c r="K20">
        <f t="shared" si="2"/>
        <v>3.4987259473804002</v>
      </c>
      <c r="L20">
        <f t="shared" si="2"/>
        <v>8.2303176698712903</v>
      </c>
      <c r="M20">
        <f t="shared" si="2"/>
        <v>3.2970343623156921</v>
      </c>
      <c r="N20">
        <f t="shared" si="2"/>
        <v>-8.9467891166027798</v>
      </c>
      <c r="O20">
        <f t="shared" si="2"/>
        <v>-12.043910960424647</v>
      </c>
    </row>
    <row r="21" spans="1:15" x14ac:dyDescent="0.7">
      <c r="A21">
        <v>20</v>
      </c>
      <c r="B21">
        <v>4.837376879760626</v>
      </c>
      <c r="C21">
        <f t="shared" si="0"/>
        <v>1.2609719381408766</v>
      </c>
      <c r="D21">
        <f t="shared" si="2"/>
        <v>-8.7341659105026324</v>
      </c>
      <c r="E21">
        <f t="shared" si="2"/>
        <v>-19.923861289896131</v>
      </c>
      <c r="F21">
        <f t="shared" si="2"/>
        <v>31.066523687155218</v>
      </c>
      <c r="G21">
        <f t="shared" si="2"/>
        <v>-22.387418102523633</v>
      </c>
      <c r="H21">
        <f t="shared" si="2"/>
        <v>-12.986939172547629</v>
      </c>
      <c r="I21">
        <f t="shared" si="2"/>
        <v>-16.712555593865908</v>
      </c>
      <c r="J21">
        <f t="shared" si="2"/>
        <v>-29.225685504164794</v>
      </c>
      <c r="K21">
        <f t="shared" si="2"/>
        <v>27.638029309040043</v>
      </c>
      <c r="L21">
        <f t="shared" si="2"/>
        <v>3.4987259473804002</v>
      </c>
      <c r="M21">
        <f t="shared" si="2"/>
        <v>8.2303176698712903</v>
      </c>
      <c r="N21">
        <f t="shared" si="2"/>
        <v>3.2970343623156921</v>
      </c>
      <c r="O21">
        <f t="shared" si="2"/>
        <v>-8.9467891166027798</v>
      </c>
    </row>
    <row r="22" spans="1:15" x14ac:dyDescent="0.7">
      <c r="A22">
        <v>21</v>
      </c>
      <c r="B22">
        <v>17.07536489629851</v>
      </c>
      <c r="C22">
        <f t="shared" si="0"/>
        <v>13.49895995467876</v>
      </c>
      <c r="D22">
        <f t="shared" si="2"/>
        <v>1.2609719381408766</v>
      </c>
      <c r="E22">
        <f t="shared" si="2"/>
        <v>-8.7341659105026324</v>
      </c>
      <c r="F22">
        <f t="shared" si="2"/>
        <v>-19.923861289896131</v>
      </c>
      <c r="G22">
        <f t="shared" si="2"/>
        <v>31.066523687155218</v>
      </c>
      <c r="H22">
        <f t="shared" si="2"/>
        <v>-22.387418102523633</v>
      </c>
      <c r="I22">
        <f t="shared" si="2"/>
        <v>-12.986939172547629</v>
      </c>
      <c r="J22">
        <f t="shared" si="2"/>
        <v>-16.712555593865908</v>
      </c>
      <c r="K22">
        <f t="shared" si="2"/>
        <v>-29.225685504164794</v>
      </c>
      <c r="L22">
        <f t="shared" si="2"/>
        <v>27.638029309040043</v>
      </c>
      <c r="M22">
        <f t="shared" si="2"/>
        <v>3.4987259473804002</v>
      </c>
      <c r="N22">
        <f t="shared" si="2"/>
        <v>8.2303176698712903</v>
      </c>
      <c r="O22">
        <f t="shared" si="2"/>
        <v>3.2970343623156921</v>
      </c>
    </row>
    <row r="23" spans="1:15" x14ac:dyDescent="0.7">
      <c r="A23">
        <v>22</v>
      </c>
      <c r="B23">
        <v>7.6494941650880151</v>
      </c>
      <c r="C23">
        <f t="shared" si="0"/>
        <v>4.0730892234682656</v>
      </c>
      <c r="D23">
        <f t="shared" si="2"/>
        <v>13.49895995467876</v>
      </c>
      <c r="E23">
        <f t="shared" si="2"/>
        <v>1.2609719381408766</v>
      </c>
      <c r="F23">
        <f t="shared" si="2"/>
        <v>-8.7341659105026324</v>
      </c>
      <c r="G23">
        <f t="shared" si="2"/>
        <v>-19.923861289896131</v>
      </c>
      <c r="H23">
        <f t="shared" si="2"/>
        <v>31.066523687155218</v>
      </c>
      <c r="I23">
        <f t="shared" si="2"/>
        <v>-22.387418102523633</v>
      </c>
      <c r="J23">
        <f t="shared" si="2"/>
        <v>-12.986939172547629</v>
      </c>
      <c r="K23">
        <f t="shared" si="2"/>
        <v>-16.712555593865908</v>
      </c>
      <c r="L23">
        <f t="shared" si="2"/>
        <v>-29.225685504164794</v>
      </c>
      <c r="M23">
        <f t="shared" si="2"/>
        <v>27.638029309040043</v>
      </c>
      <c r="N23">
        <f t="shared" si="2"/>
        <v>3.4987259473804002</v>
      </c>
      <c r="O23">
        <f t="shared" si="2"/>
        <v>8.2303176698712903</v>
      </c>
    </row>
    <row r="24" spans="1:15" x14ac:dyDescent="0.7">
      <c r="A24">
        <v>23</v>
      </c>
      <c r="B24">
        <v>13.168409680662648</v>
      </c>
      <c r="C24">
        <f t="shared" si="0"/>
        <v>9.5920047390428991</v>
      </c>
      <c r="D24">
        <f t="shared" si="2"/>
        <v>4.0730892234682656</v>
      </c>
      <c r="E24">
        <f t="shared" si="2"/>
        <v>13.49895995467876</v>
      </c>
      <c r="F24">
        <f t="shared" ref="E24:O37" si="3">E23</f>
        <v>1.2609719381408766</v>
      </c>
      <c r="G24">
        <f t="shared" si="3"/>
        <v>-8.7341659105026324</v>
      </c>
      <c r="H24">
        <f t="shared" si="3"/>
        <v>-19.923861289896131</v>
      </c>
      <c r="I24">
        <f t="shared" si="3"/>
        <v>31.066523687155218</v>
      </c>
      <c r="J24">
        <f t="shared" si="3"/>
        <v>-22.387418102523633</v>
      </c>
      <c r="K24">
        <f t="shared" si="3"/>
        <v>-12.986939172547629</v>
      </c>
      <c r="L24">
        <f t="shared" si="3"/>
        <v>-16.712555593865908</v>
      </c>
      <c r="M24">
        <f t="shared" si="3"/>
        <v>-29.225685504164794</v>
      </c>
      <c r="N24">
        <f t="shared" si="3"/>
        <v>27.638029309040043</v>
      </c>
      <c r="O24">
        <f t="shared" si="3"/>
        <v>3.4987259473804002</v>
      </c>
    </row>
    <row r="25" spans="1:15" x14ac:dyDescent="0.7">
      <c r="A25">
        <v>24</v>
      </c>
      <c r="B25">
        <v>31.588787931155565</v>
      </c>
      <c r="C25">
        <f t="shared" si="0"/>
        <v>28.012382989535816</v>
      </c>
      <c r="D25">
        <f t="shared" si="2"/>
        <v>9.5920047390428991</v>
      </c>
      <c r="E25">
        <f t="shared" si="3"/>
        <v>4.0730892234682656</v>
      </c>
      <c r="F25">
        <f t="shared" si="3"/>
        <v>13.49895995467876</v>
      </c>
      <c r="G25">
        <f t="shared" si="3"/>
        <v>1.2609719381408766</v>
      </c>
      <c r="H25">
        <f t="shared" si="3"/>
        <v>-8.7341659105026324</v>
      </c>
      <c r="I25">
        <f t="shared" si="3"/>
        <v>-19.923861289896131</v>
      </c>
      <c r="J25">
        <f t="shared" si="3"/>
        <v>31.066523687155218</v>
      </c>
      <c r="K25">
        <f t="shared" si="3"/>
        <v>-22.387418102523633</v>
      </c>
      <c r="L25">
        <f t="shared" si="3"/>
        <v>-12.986939172547629</v>
      </c>
      <c r="M25">
        <f t="shared" si="3"/>
        <v>-16.712555593865908</v>
      </c>
      <c r="N25">
        <f t="shared" si="3"/>
        <v>-29.225685504164794</v>
      </c>
      <c r="O25">
        <f t="shared" si="3"/>
        <v>27.638029309040043</v>
      </c>
    </row>
    <row r="26" spans="1:15" x14ac:dyDescent="0.7">
      <c r="A26">
        <v>25</v>
      </c>
      <c r="B26">
        <v>-32.237614326728618</v>
      </c>
      <c r="C26">
        <f t="shared" si="0"/>
        <v>-35.814019268348368</v>
      </c>
      <c r="D26">
        <f t="shared" si="2"/>
        <v>28.012382989535816</v>
      </c>
      <c r="E26">
        <f t="shared" si="3"/>
        <v>9.5920047390428991</v>
      </c>
      <c r="F26">
        <f t="shared" si="3"/>
        <v>4.0730892234682656</v>
      </c>
      <c r="G26">
        <f t="shared" si="3"/>
        <v>13.49895995467876</v>
      </c>
      <c r="H26">
        <f t="shared" si="3"/>
        <v>1.2609719381408766</v>
      </c>
      <c r="I26">
        <f t="shared" si="3"/>
        <v>-8.7341659105026324</v>
      </c>
      <c r="J26">
        <f t="shared" si="3"/>
        <v>-19.923861289896131</v>
      </c>
      <c r="K26">
        <f t="shared" si="3"/>
        <v>31.066523687155218</v>
      </c>
      <c r="L26">
        <f t="shared" si="3"/>
        <v>-22.387418102523633</v>
      </c>
      <c r="M26">
        <f t="shared" si="3"/>
        <v>-12.986939172547629</v>
      </c>
      <c r="N26">
        <f t="shared" si="3"/>
        <v>-16.712555593865908</v>
      </c>
      <c r="O26">
        <f t="shared" si="3"/>
        <v>-29.225685504164794</v>
      </c>
    </row>
    <row r="27" spans="1:15" x14ac:dyDescent="0.7">
      <c r="A27">
        <v>26</v>
      </c>
      <c r="B27">
        <v>16.132590065756773</v>
      </c>
      <c r="C27">
        <f t="shared" si="0"/>
        <v>12.556185124137023</v>
      </c>
      <c r="D27">
        <f t="shared" si="2"/>
        <v>-35.814019268348368</v>
      </c>
      <c r="E27">
        <f t="shared" si="3"/>
        <v>28.012382989535816</v>
      </c>
      <c r="F27">
        <f t="shared" si="3"/>
        <v>9.5920047390428991</v>
      </c>
      <c r="G27">
        <f t="shared" si="3"/>
        <v>4.0730892234682656</v>
      </c>
      <c r="H27">
        <f t="shared" si="3"/>
        <v>13.49895995467876</v>
      </c>
      <c r="I27">
        <f t="shared" si="3"/>
        <v>1.2609719381408766</v>
      </c>
      <c r="J27">
        <f t="shared" si="3"/>
        <v>-8.7341659105026324</v>
      </c>
      <c r="K27">
        <f t="shared" si="3"/>
        <v>-19.923861289896131</v>
      </c>
      <c r="L27">
        <f t="shared" si="3"/>
        <v>31.066523687155218</v>
      </c>
      <c r="M27">
        <f t="shared" si="3"/>
        <v>-22.387418102523633</v>
      </c>
      <c r="N27">
        <f t="shared" si="3"/>
        <v>-12.986939172547629</v>
      </c>
      <c r="O27">
        <f t="shared" si="3"/>
        <v>-16.712555593865908</v>
      </c>
    </row>
    <row r="28" spans="1:15" x14ac:dyDescent="0.7">
      <c r="A28">
        <v>27</v>
      </c>
      <c r="B28">
        <v>-29.942802470154248</v>
      </c>
      <c r="C28">
        <f t="shared" si="0"/>
        <v>-33.519207411773998</v>
      </c>
      <c r="D28">
        <f t="shared" si="2"/>
        <v>12.556185124137023</v>
      </c>
      <c r="E28">
        <f t="shared" si="3"/>
        <v>-35.814019268348368</v>
      </c>
      <c r="F28">
        <f t="shared" si="3"/>
        <v>28.012382989535816</v>
      </c>
      <c r="G28">
        <f t="shared" si="3"/>
        <v>9.5920047390428991</v>
      </c>
      <c r="H28">
        <f t="shared" si="3"/>
        <v>4.0730892234682656</v>
      </c>
      <c r="I28">
        <f t="shared" si="3"/>
        <v>13.49895995467876</v>
      </c>
      <c r="J28">
        <f t="shared" si="3"/>
        <v>1.2609719381408766</v>
      </c>
      <c r="K28">
        <f t="shared" si="3"/>
        <v>-8.7341659105026324</v>
      </c>
      <c r="L28">
        <f t="shared" si="3"/>
        <v>-19.923861289896131</v>
      </c>
      <c r="M28">
        <f t="shared" si="3"/>
        <v>31.066523687155218</v>
      </c>
      <c r="N28">
        <f t="shared" si="3"/>
        <v>-22.387418102523633</v>
      </c>
      <c r="O28">
        <f t="shared" si="3"/>
        <v>-12.986939172547629</v>
      </c>
    </row>
    <row r="29" spans="1:15" x14ac:dyDescent="0.7">
      <c r="A29">
        <v>28</v>
      </c>
      <c r="B29">
        <v>2.3983805909963394</v>
      </c>
      <c r="C29">
        <f t="shared" si="0"/>
        <v>-1.17802435062341</v>
      </c>
      <c r="D29">
        <f t="shared" si="2"/>
        <v>-33.519207411773998</v>
      </c>
      <c r="E29">
        <f t="shared" si="3"/>
        <v>12.556185124137023</v>
      </c>
      <c r="F29">
        <f t="shared" si="3"/>
        <v>-35.814019268348368</v>
      </c>
      <c r="G29">
        <f t="shared" si="3"/>
        <v>28.012382989535816</v>
      </c>
      <c r="H29">
        <f t="shared" si="3"/>
        <v>9.5920047390428991</v>
      </c>
      <c r="I29">
        <f t="shared" si="3"/>
        <v>4.0730892234682656</v>
      </c>
      <c r="J29">
        <f t="shared" si="3"/>
        <v>13.49895995467876</v>
      </c>
      <c r="K29">
        <f t="shared" si="3"/>
        <v>1.2609719381408766</v>
      </c>
      <c r="L29">
        <f t="shared" si="3"/>
        <v>-8.7341659105026324</v>
      </c>
      <c r="M29">
        <f t="shared" si="3"/>
        <v>-19.923861289896131</v>
      </c>
      <c r="N29">
        <f t="shared" si="3"/>
        <v>31.066523687155218</v>
      </c>
      <c r="O29">
        <f t="shared" si="3"/>
        <v>-22.387418102523633</v>
      </c>
    </row>
    <row r="30" spans="1:15" x14ac:dyDescent="0.7">
      <c r="A30">
        <v>29</v>
      </c>
      <c r="B30">
        <v>10.339523262889088</v>
      </c>
      <c r="C30">
        <f t="shared" si="0"/>
        <v>6.7631183212693387</v>
      </c>
      <c r="D30">
        <f t="shared" si="2"/>
        <v>-1.17802435062341</v>
      </c>
      <c r="E30">
        <f t="shared" si="3"/>
        <v>-33.519207411773998</v>
      </c>
      <c r="F30">
        <f t="shared" si="3"/>
        <v>12.556185124137023</v>
      </c>
      <c r="G30">
        <f t="shared" si="3"/>
        <v>-35.814019268348368</v>
      </c>
      <c r="H30">
        <f t="shared" si="3"/>
        <v>28.012382989535816</v>
      </c>
      <c r="I30">
        <f t="shared" si="3"/>
        <v>9.5920047390428991</v>
      </c>
      <c r="J30">
        <f t="shared" si="3"/>
        <v>4.0730892234682656</v>
      </c>
      <c r="K30">
        <f t="shared" si="3"/>
        <v>13.49895995467876</v>
      </c>
      <c r="L30">
        <f t="shared" si="3"/>
        <v>1.2609719381408766</v>
      </c>
      <c r="M30">
        <f t="shared" si="3"/>
        <v>-8.7341659105026324</v>
      </c>
      <c r="N30">
        <f t="shared" si="3"/>
        <v>-19.923861289896131</v>
      </c>
      <c r="O30">
        <f t="shared" si="3"/>
        <v>31.066523687155218</v>
      </c>
    </row>
    <row r="31" spans="1:15" x14ac:dyDescent="0.7">
      <c r="A31">
        <v>30</v>
      </c>
      <c r="B31">
        <v>-15.315323266971262</v>
      </c>
      <c r="C31">
        <f t="shared" si="0"/>
        <v>-18.891728208591012</v>
      </c>
      <c r="D31">
        <f t="shared" si="2"/>
        <v>6.7631183212693387</v>
      </c>
      <c r="E31">
        <f t="shared" si="3"/>
        <v>-1.17802435062341</v>
      </c>
      <c r="F31">
        <f t="shared" si="3"/>
        <v>-33.519207411773998</v>
      </c>
      <c r="G31">
        <f t="shared" si="3"/>
        <v>12.556185124137023</v>
      </c>
      <c r="H31">
        <f t="shared" si="3"/>
        <v>-35.814019268348368</v>
      </c>
      <c r="I31">
        <f t="shared" si="3"/>
        <v>28.012382989535816</v>
      </c>
      <c r="J31">
        <f t="shared" si="3"/>
        <v>9.5920047390428991</v>
      </c>
      <c r="K31">
        <f t="shared" si="3"/>
        <v>4.0730892234682656</v>
      </c>
      <c r="L31">
        <f t="shared" si="3"/>
        <v>13.49895995467876</v>
      </c>
      <c r="M31">
        <f t="shared" si="3"/>
        <v>1.2609719381408766</v>
      </c>
      <c r="N31">
        <f t="shared" si="3"/>
        <v>-8.7341659105026324</v>
      </c>
      <c r="O31">
        <f t="shared" si="3"/>
        <v>-19.923861289896131</v>
      </c>
    </row>
    <row r="32" spans="1:15" x14ac:dyDescent="0.7">
      <c r="A32">
        <v>31</v>
      </c>
      <c r="B32">
        <v>11.475122326557567</v>
      </c>
      <c r="C32">
        <f t="shared" si="0"/>
        <v>7.8987173849378181</v>
      </c>
      <c r="D32">
        <f t="shared" si="2"/>
        <v>-18.891728208591012</v>
      </c>
      <c r="E32">
        <f t="shared" si="3"/>
        <v>6.7631183212693387</v>
      </c>
      <c r="F32">
        <f t="shared" si="3"/>
        <v>-1.17802435062341</v>
      </c>
      <c r="G32">
        <f t="shared" si="3"/>
        <v>-33.519207411773998</v>
      </c>
      <c r="H32">
        <f t="shared" si="3"/>
        <v>12.556185124137023</v>
      </c>
      <c r="I32">
        <f t="shared" si="3"/>
        <v>-35.814019268348368</v>
      </c>
      <c r="J32">
        <f t="shared" si="3"/>
        <v>28.012382989535816</v>
      </c>
      <c r="K32">
        <f t="shared" si="3"/>
        <v>9.5920047390428991</v>
      </c>
      <c r="L32">
        <f t="shared" si="3"/>
        <v>4.0730892234682656</v>
      </c>
      <c r="M32">
        <f t="shared" si="3"/>
        <v>13.49895995467876</v>
      </c>
      <c r="N32">
        <f t="shared" si="3"/>
        <v>1.2609719381408766</v>
      </c>
      <c r="O32">
        <f t="shared" si="3"/>
        <v>-8.7341659105026324</v>
      </c>
    </row>
    <row r="33" spans="1:15" x14ac:dyDescent="0.7">
      <c r="A33">
        <v>32</v>
      </c>
      <c r="B33">
        <v>-0.7937538899893184</v>
      </c>
      <c r="C33">
        <f t="shared" si="0"/>
        <v>-4.3701588316090678</v>
      </c>
      <c r="D33">
        <f t="shared" si="2"/>
        <v>7.8987173849378181</v>
      </c>
      <c r="E33">
        <f t="shared" si="3"/>
        <v>-18.891728208591012</v>
      </c>
      <c r="F33">
        <f t="shared" si="3"/>
        <v>6.7631183212693387</v>
      </c>
      <c r="G33">
        <f t="shared" si="3"/>
        <v>-1.17802435062341</v>
      </c>
      <c r="H33">
        <f t="shared" si="3"/>
        <v>-33.519207411773998</v>
      </c>
      <c r="I33">
        <f t="shared" si="3"/>
        <v>12.556185124137023</v>
      </c>
      <c r="J33">
        <f t="shared" si="3"/>
        <v>-35.814019268348368</v>
      </c>
      <c r="K33">
        <f t="shared" si="3"/>
        <v>28.012382989535816</v>
      </c>
      <c r="L33">
        <f t="shared" si="3"/>
        <v>9.5920047390428991</v>
      </c>
      <c r="M33">
        <f t="shared" si="3"/>
        <v>4.0730892234682656</v>
      </c>
      <c r="N33">
        <f t="shared" si="3"/>
        <v>13.49895995467876</v>
      </c>
      <c r="O33">
        <f t="shared" si="3"/>
        <v>1.2609719381408766</v>
      </c>
    </row>
    <row r="34" spans="1:15" x14ac:dyDescent="0.7">
      <c r="A34">
        <v>33</v>
      </c>
      <c r="B34">
        <v>6.0515753303059228</v>
      </c>
      <c r="C34">
        <f t="shared" si="0"/>
        <v>2.4751703886861733</v>
      </c>
      <c r="D34">
        <f t="shared" si="2"/>
        <v>-4.3701588316090678</v>
      </c>
      <c r="E34">
        <f t="shared" si="3"/>
        <v>7.8987173849378181</v>
      </c>
      <c r="F34">
        <f t="shared" si="3"/>
        <v>-18.891728208591012</v>
      </c>
      <c r="G34">
        <f t="shared" si="3"/>
        <v>6.7631183212693387</v>
      </c>
      <c r="H34">
        <f t="shared" si="3"/>
        <v>-1.17802435062341</v>
      </c>
      <c r="I34">
        <f t="shared" si="3"/>
        <v>-33.519207411773998</v>
      </c>
      <c r="J34">
        <f t="shared" si="3"/>
        <v>12.556185124137023</v>
      </c>
      <c r="K34">
        <f t="shared" si="3"/>
        <v>-35.814019268348368</v>
      </c>
      <c r="L34">
        <f t="shared" si="3"/>
        <v>28.012382989535816</v>
      </c>
      <c r="M34">
        <f t="shared" si="3"/>
        <v>9.5920047390428991</v>
      </c>
      <c r="N34">
        <f t="shared" si="3"/>
        <v>4.0730892234682656</v>
      </c>
      <c r="O34">
        <f t="shared" si="3"/>
        <v>13.49895995467876</v>
      </c>
    </row>
    <row r="35" spans="1:15" x14ac:dyDescent="0.7">
      <c r="A35">
        <v>34</v>
      </c>
      <c r="B35">
        <v>2.1732850972513802</v>
      </c>
      <c r="C35">
        <f t="shared" si="0"/>
        <v>-1.4031198443683692</v>
      </c>
      <c r="D35">
        <f t="shared" si="2"/>
        <v>2.4751703886861733</v>
      </c>
      <c r="E35">
        <f t="shared" si="3"/>
        <v>-4.3701588316090678</v>
      </c>
      <c r="F35">
        <f t="shared" si="3"/>
        <v>7.8987173849378181</v>
      </c>
      <c r="G35">
        <f t="shared" si="3"/>
        <v>-18.891728208591012</v>
      </c>
      <c r="H35">
        <f t="shared" si="3"/>
        <v>6.7631183212693387</v>
      </c>
      <c r="I35">
        <f t="shared" si="3"/>
        <v>-1.17802435062341</v>
      </c>
      <c r="J35">
        <f t="shared" si="3"/>
        <v>-33.519207411773998</v>
      </c>
      <c r="K35">
        <f t="shared" si="3"/>
        <v>12.556185124137023</v>
      </c>
      <c r="L35">
        <f t="shared" si="3"/>
        <v>-35.814019268348368</v>
      </c>
      <c r="M35">
        <f t="shared" si="3"/>
        <v>28.012382989535816</v>
      </c>
      <c r="N35">
        <f t="shared" si="3"/>
        <v>9.5920047390428991</v>
      </c>
      <c r="O35">
        <f t="shared" si="3"/>
        <v>4.0730892234682656</v>
      </c>
    </row>
    <row r="36" spans="1:15" x14ac:dyDescent="0.7">
      <c r="A36">
        <v>35</v>
      </c>
      <c r="B36">
        <v>44.775090295277181</v>
      </c>
      <c r="C36">
        <f t="shared" si="0"/>
        <v>41.198685353657432</v>
      </c>
      <c r="D36">
        <f t="shared" si="2"/>
        <v>-1.4031198443683692</v>
      </c>
      <c r="E36">
        <f t="shared" si="3"/>
        <v>2.4751703886861733</v>
      </c>
      <c r="F36">
        <f t="shared" si="3"/>
        <v>-4.3701588316090678</v>
      </c>
      <c r="G36">
        <f t="shared" si="3"/>
        <v>7.8987173849378181</v>
      </c>
      <c r="H36">
        <f t="shared" si="3"/>
        <v>-18.891728208591012</v>
      </c>
      <c r="I36">
        <f t="shared" si="3"/>
        <v>6.7631183212693387</v>
      </c>
      <c r="J36">
        <f t="shared" si="3"/>
        <v>-1.17802435062341</v>
      </c>
      <c r="K36">
        <f t="shared" si="3"/>
        <v>-33.519207411773998</v>
      </c>
      <c r="L36">
        <f t="shared" si="3"/>
        <v>12.556185124137023</v>
      </c>
      <c r="M36">
        <f t="shared" si="3"/>
        <v>-35.814019268348368</v>
      </c>
      <c r="N36">
        <f t="shared" si="3"/>
        <v>28.012382989535816</v>
      </c>
      <c r="O36">
        <f t="shared" si="3"/>
        <v>9.5920047390428991</v>
      </c>
    </row>
    <row r="37" spans="1:15" x14ac:dyDescent="0.7">
      <c r="A37">
        <v>36</v>
      </c>
      <c r="B37">
        <v>51.73048977191587</v>
      </c>
      <c r="C37">
        <f t="shared" si="0"/>
        <v>48.154084830296121</v>
      </c>
      <c r="D37">
        <f t="shared" si="2"/>
        <v>41.198685353657432</v>
      </c>
      <c r="E37">
        <f t="shared" si="3"/>
        <v>-1.4031198443683692</v>
      </c>
      <c r="F37">
        <f t="shared" si="3"/>
        <v>2.4751703886861733</v>
      </c>
      <c r="G37">
        <f t="shared" si="3"/>
        <v>-4.3701588316090678</v>
      </c>
      <c r="H37">
        <f t="shared" si="3"/>
        <v>7.8987173849378181</v>
      </c>
      <c r="I37">
        <f t="shared" si="3"/>
        <v>-18.891728208591012</v>
      </c>
      <c r="J37">
        <f t="shared" si="3"/>
        <v>6.7631183212693387</v>
      </c>
      <c r="K37">
        <f t="shared" si="3"/>
        <v>-1.17802435062341</v>
      </c>
      <c r="L37">
        <f t="shared" si="3"/>
        <v>-33.519207411773998</v>
      </c>
      <c r="M37">
        <f t="shared" si="3"/>
        <v>12.556185124137023</v>
      </c>
      <c r="N37">
        <f t="shared" si="3"/>
        <v>-35.814019268348368</v>
      </c>
      <c r="O37">
        <f t="shared" si="3"/>
        <v>28.012382989535816</v>
      </c>
    </row>
    <row r="38" spans="1:15" x14ac:dyDescent="0.7">
      <c r="B38">
        <f>AVERAGE(B2:B37)</f>
        <v>3.5764049416197494</v>
      </c>
      <c r="C38">
        <f>SUMPRODUCT($C$2:$C$37,C2:C37)</f>
        <v>13636.816622505614</v>
      </c>
      <c r="D38">
        <f>SUMPRODUCT($C$2:$C$37,D2:D37)</f>
        <v>-474.06980999970756</v>
      </c>
      <c r="E38">
        <f t="shared" ref="E38:O38" si="4">SUMPRODUCT($C$2:$C$37,E2:E37)</f>
        <v>753.36267893475815</v>
      </c>
      <c r="F38">
        <f t="shared" si="4"/>
        <v>-229.3066568958622</v>
      </c>
      <c r="G38">
        <f t="shared" si="4"/>
        <v>-2223.64179272315</v>
      </c>
      <c r="H38">
        <f t="shared" si="4"/>
        <v>1544.2837443130211</v>
      </c>
      <c r="I38">
        <f t="shared" si="4"/>
        <v>-2442.5315162542811</v>
      </c>
      <c r="J38">
        <f t="shared" si="4"/>
        <v>1790.5252490682115</v>
      </c>
      <c r="K38">
        <f t="shared" si="4"/>
        <v>-4382.6092668843776</v>
      </c>
      <c r="L38">
        <f t="shared" si="4"/>
        <v>-167.69988192846881</v>
      </c>
      <c r="M38">
        <f t="shared" si="4"/>
        <v>-1460.4195971110053</v>
      </c>
      <c r="N38">
        <f t="shared" si="4"/>
        <v>733.06189970949958</v>
      </c>
      <c r="O38">
        <f t="shared" si="4"/>
        <v>5512.8013556223204</v>
      </c>
    </row>
    <row r="40" spans="1:15" x14ac:dyDescent="0.7">
      <c r="B40" t="s">
        <v>29</v>
      </c>
      <c r="D40">
        <f>D38/$C$38</f>
        <v>-3.4763964576404377E-2</v>
      </c>
      <c r="E40">
        <f t="shared" ref="E40:N40" si="5">E38/$C$38</f>
        <v>5.5244761280388625E-2</v>
      </c>
      <c r="F40">
        <f t="shared" si="5"/>
        <v>-1.6815262919750964E-2</v>
      </c>
      <c r="G40">
        <f t="shared" si="5"/>
        <v>-0.1630616480574614</v>
      </c>
      <c r="H40">
        <f t="shared" si="5"/>
        <v>0.11324371274190208</v>
      </c>
      <c r="I40">
        <f t="shared" si="5"/>
        <v>-0.17911302790588476</v>
      </c>
      <c r="J40">
        <f t="shared" si="5"/>
        <v>0.13130082325175554</v>
      </c>
      <c r="K40">
        <f t="shared" si="5"/>
        <v>-0.32138067029892509</v>
      </c>
      <c r="L40">
        <f t="shared" si="5"/>
        <v>-1.2297582828216972E-2</v>
      </c>
      <c r="M40">
        <f t="shared" si="5"/>
        <v>-0.10709387957162904</v>
      </c>
      <c r="N40">
        <f t="shared" si="5"/>
        <v>5.375608692278562E-2</v>
      </c>
      <c r="O40">
        <f>O38/$C$38</f>
        <v>0.40425867035010438</v>
      </c>
    </row>
    <row r="41" spans="1:15" x14ac:dyDescent="0.7">
      <c r="B41" t="s">
        <v>30</v>
      </c>
      <c r="D41">
        <f>2/SQRT(36)</f>
        <v>0.33333333333333331</v>
      </c>
      <c r="E41">
        <f t="shared" ref="E41:O41" si="6">2/SQRT(36)</f>
        <v>0.33333333333333331</v>
      </c>
      <c r="F41">
        <f t="shared" si="6"/>
        <v>0.33333333333333331</v>
      </c>
      <c r="G41">
        <f t="shared" si="6"/>
        <v>0.33333333333333331</v>
      </c>
      <c r="H41">
        <f t="shared" si="6"/>
        <v>0.33333333333333331</v>
      </c>
      <c r="I41">
        <f t="shared" si="6"/>
        <v>0.33333333333333331</v>
      </c>
      <c r="J41">
        <f t="shared" si="6"/>
        <v>0.33333333333333331</v>
      </c>
      <c r="K41">
        <f t="shared" si="6"/>
        <v>0.33333333333333331</v>
      </c>
      <c r="L41">
        <f t="shared" si="6"/>
        <v>0.33333333333333331</v>
      </c>
      <c r="M41">
        <f t="shared" si="6"/>
        <v>0.33333333333333331</v>
      </c>
      <c r="N41">
        <f t="shared" si="6"/>
        <v>0.33333333333333331</v>
      </c>
      <c r="O41">
        <f t="shared" si="6"/>
        <v>0.33333333333333331</v>
      </c>
    </row>
    <row r="42" spans="1:15" x14ac:dyDescent="0.7">
      <c r="B42" t="s">
        <v>31</v>
      </c>
      <c r="D42">
        <f>-2/SQRT(36)</f>
        <v>-0.33333333333333331</v>
      </c>
      <c r="E42">
        <f t="shared" ref="E42:O42" si="7">-2/SQRT(36)</f>
        <v>-0.33333333333333331</v>
      </c>
      <c r="F42">
        <f t="shared" si="7"/>
        <v>-0.33333333333333331</v>
      </c>
      <c r="G42">
        <f t="shared" si="7"/>
        <v>-0.33333333333333331</v>
      </c>
      <c r="H42">
        <f t="shared" si="7"/>
        <v>-0.33333333333333331</v>
      </c>
      <c r="I42">
        <f t="shared" si="7"/>
        <v>-0.33333333333333331</v>
      </c>
      <c r="J42">
        <f t="shared" si="7"/>
        <v>-0.33333333333333331</v>
      </c>
      <c r="K42">
        <f t="shared" si="7"/>
        <v>-0.33333333333333331</v>
      </c>
      <c r="L42">
        <f t="shared" si="7"/>
        <v>-0.33333333333333331</v>
      </c>
      <c r="M42">
        <f t="shared" si="7"/>
        <v>-0.33333333333333331</v>
      </c>
      <c r="N42">
        <f t="shared" si="7"/>
        <v>-0.33333333333333331</v>
      </c>
      <c r="O42">
        <f t="shared" si="7"/>
        <v>-0.33333333333333331</v>
      </c>
    </row>
  </sheetData>
  <phoneticPr fontId="4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7"/>
  <sheetViews>
    <sheetView workbookViewId="0">
      <pane ySplit="1" topLeftCell="A2" activePane="bottomLeft" state="frozen"/>
      <selection pane="bottomLeft" activeCell="G3" sqref="G3"/>
    </sheetView>
  </sheetViews>
  <sheetFormatPr defaultColWidth="11" defaultRowHeight="19.149999999999999" x14ac:dyDescent="0.7"/>
  <cols>
    <col min="4" max="4" width="21.44140625" bestFit="1" customWidth="1"/>
    <col min="5" max="5" width="19.88671875" bestFit="1" customWidth="1"/>
    <col min="6" max="6" width="19.88671875" style="22" customWidth="1"/>
    <col min="7" max="7" width="22.109375" customWidth="1"/>
    <col min="8" max="8" width="18.109375" bestFit="1" customWidth="1"/>
  </cols>
  <sheetData>
    <row r="1" spans="1:8" x14ac:dyDescent="0.7">
      <c r="A1" s="19" t="s">
        <v>1</v>
      </c>
      <c r="B1" s="19" t="s">
        <v>0</v>
      </c>
      <c r="C1" s="19" t="s">
        <v>17</v>
      </c>
      <c r="D1" s="19" t="s">
        <v>18</v>
      </c>
      <c r="E1" s="19" t="s">
        <v>19</v>
      </c>
      <c r="F1" s="19" t="s">
        <v>20</v>
      </c>
      <c r="G1" s="19" t="s">
        <v>21</v>
      </c>
      <c r="H1" s="19" t="s">
        <v>22</v>
      </c>
    </row>
    <row r="2" spans="1:8" x14ac:dyDescent="0.7">
      <c r="A2">
        <v>1</v>
      </c>
      <c r="B2">
        <v>165</v>
      </c>
      <c r="C2" s="20"/>
      <c r="D2" s="20"/>
      <c r="E2" s="11">
        <f>AVERAGE(D14,D26)</f>
        <v>0.98823339924446252</v>
      </c>
      <c r="F2" s="21">
        <f>E2-1</f>
        <v>-1.1766600755537482E-2</v>
      </c>
      <c r="G2" s="11">
        <v>0.98823339924446252</v>
      </c>
      <c r="H2" s="11">
        <f>B2/G2</f>
        <v>166.96460585743006</v>
      </c>
    </row>
    <row r="3" spans="1:8" x14ac:dyDescent="0.7">
      <c r="A3">
        <v>2</v>
      </c>
      <c r="B3">
        <v>171</v>
      </c>
      <c r="C3" s="20"/>
      <c r="D3" s="20"/>
      <c r="E3" s="11">
        <f t="shared" ref="E3:E7" si="0">AVERAGE(D15,D27)</f>
        <v>1.0394595142086607</v>
      </c>
      <c r="F3" s="21">
        <f t="shared" ref="F3:F13" si="1">E3-1</f>
        <v>3.9459514208660673E-2</v>
      </c>
      <c r="G3" s="11">
        <v>1.0394595142086607</v>
      </c>
      <c r="H3" s="11">
        <f t="shared" ref="H3:H37" si="2">B3/G3</f>
        <v>164.50857167840934</v>
      </c>
    </row>
    <row r="4" spans="1:8" x14ac:dyDescent="0.7">
      <c r="A4">
        <v>3</v>
      </c>
      <c r="B4">
        <v>147</v>
      </c>
      <c r="C4" s="20"/>
      <c r="D4" s="20"/>
      <c r="E4" s="11">
        <f t="shared" si="0"/>
        <v>0.93293329171244777</v>
      </c>
      <c r="F4" s="21">
        <f t="shared" si="1"/>
        <v>-6.7066708287552235E-2</v>
      </c>
      <c r="G4" s="11">
        <v>0.93293329171244777</v>
      </c>
      <c r="H4" s="11">
        <f t="shared" si="2"/>
        <v>157.56753597052349</v>
      </c>
    </row>
    <row r="5" spans="1:8" x14ac:dyDescent="0.7">
      <c r="A5">
        <v>4</v>
      </c>
      <c r="B5">
        <v>143</v>
      </c>
      <c r="C5" s="20"/>
      <c r="D5" s="20"/>
      <c r="E5" s="11">
        <f t="shared" si="0"/>
        <v>0.91259775591054715</v>
      </c>
      <c r="F5" s="21">
        <f t="shared" si="1"/>
        <v>-8.7402244089452852E-2</v>
      </c>
      <c r="G5" s="11">
        <v>0.91259775591054715</v>
      </c>
      <c r="H5" s="11">
        <f t="shared" si="2"/>
        <v>156.69554201053379</v>
      </c>
    </row>
    <row r="6" spans="1:8" x14ac:dyDescent="0.7">
      <c r="A6">
        <v>5</v>
      </c>
      <c r="B6">
        <v>164</v>
      </c>
      <c r="C6" s="20"/>
      <c r="D6" s="20"/>
      <c r="E6" s="11">
        <f t="shared" si="0"/>
        <v>1.0430106047420362</v>
      </c>
      <c r="F6" s="21">
        <f t="shared" si="1"/>
        <v>4.3010604742036218E-2</v>
      </c>
      <c r="G6" s="11">
        <v>1.0430106047420362</v>
      </c>
      <c r="H6" s="11">
        <f t="shared" si="2"/>
        <v>157.23713570540491</v>
      </c>
    </row>
    <row r="7" spans="1:8" x14ac:dyDescent="0.7">
      <c r="A7">
        <v>6</v>
      </c>
      <c r="B7">
        <v>160</v>
      </c>
      <c r="C7" s="20"/>
      <c r="D7" s="20"/>
      <c r="E7" s="11">
        <f t="shared" si="0"/>
        <v>0.90644245153667458</v>
      </c>
      <c r="F7" s="21">
        <f t="shared" si="1"/>
        <v>-9.3557548463325424E-2</v>
      </c>
      <c r="G7" s="11">
        <v>0.90644245153667458</v>
      </c>
      <c r="H7" s="11">
        <f t="shared" si="2"/>
        <v>176.5142395181901</v>
      </c>
    </row>
    <row r="8" spans="1:8" x14ac:dyDescent="0.7">
      <c r="A8">
        <v>7</v>
      </c>
      <c r="B8">
        <v>152</v>
      </c>
      <c r="C8" s="11">
        <f>(AVERAGE(B2:B13)+AVERAGE(B3:B14))/2</f>
        <v>163.16666666666669</v>
      </c>
      <c r="D8" s="11">
        <f>B8/C8</f>
        <v>0.93156281920326856</v>
      </c>
      <c r="E8" s="11">
        <f>AVERAGE(D8,D20)</f>
        <v>0.92083758937691518</v>
      </c>
      <c r="F8" s="21">
        <f t="shared" si="1"/>
        <v>-7.9162410623084822E-2</v>
      </c>
      <c r="G8" s="11">
        <v>0.92083758937691518</v>
      </c>
      <c r="H8" s="11">
        <f t="shared" si="2"/>
        <v>165.06711037160289</v>
      </c>
    </row>
    <row r="9" spans="1:8" x14ac:dyDescent="0.7">
      <c r="A9">
        <v>8</v>
      </c>
      <c r="B9">
        <v>150</v>
      </c>
      <c r="C9" s="11">
        <f t="shared" ref="C9:C31" si="3">(AVERAGE(B3:B14)+AVERAGE(B4:B15))/2</f>
        <v>163.125</v>
      </c>
      <c r="D9" s="11">
        <f t="shared" ref="D9:D31" si="4">B9/C9</f>
        <v>0.91954022988505746</v>
      </c>
      <c r="E9" s="11">
        <f t="shared" ref="E9:E13" si="5">AVERAGE(D9,D21)</f>
        <v>0.92662094367181047</v>
      </c>
      <c r="F9" s="21">
        <f t="shared" si="1"/>
        <v>-7.3379056328189529E-2</v>
      </c>
      <c r="G9" s="11">
        <v>0.92662094367181047</v>
      </c>
      <c r="H9" s="11">
        <f t="shared" si="2"/>
        <v>161.87849090223762</v>
      </c>
    </row>
    <row r="10" spans="1:8" x14ac:dyDescent="0.7">
      <c r="A10">
        <v>9</v>
      </c>
      <c r="B10">
        <v>159</v>
      </c>
      <c r="C10" s="11">
        <f t="shared" si="3"/>
        <v>163.54166666666666</v>
      </c>
      <c r="D10" s="11">
        <f t="shared" si="4"/>
        <v>0.97222929936305735</v>
      </c>
      <c r="E10" s="11">
        <f t="shared" si="5"/>
        <v>0.98849075287229571</v>
      </c>
      <c r="F10" s="21">
        <f t="shared" si="1"/>
        <v>-1.1509247127704292E-2</v>
      </c>
      <c r="G10" s="11">
        <v>0.98849075287229571</v>
      </c>
      <c r="H10" s="11">
        <f t="shared" si="2"/>
        <v>160.85127709893854</v>
      </c>
    </row>
    <row r="11" spans="1:8" x14ac:dyDescent="0.7">
      <c r="A11">
        <v>10</v>
      </c>
      <c r="B11">
        <v>169</v>
      </c>
      <c r="C11" s="11">
        <f t="shared" si="3"/>
        <v>164.33333333333331</v>
      </c>
      <c r="D11" s="11">
        <f t="shared" si="4"/>
        <v>1.028397565922921</v>
      </c>
      <c r="E11" s="11">
        <f t="shared" si="5"/>
        <v>1.0162014531884298</v>
      </c>
      <c r="F11" s="21">
        <f t="shared" si="1"/>
        <v>1.6201453188429804E-2</v>
      </c>
      <c r="G11" s="11">
        <v>1.0162014531884298</v>
      </c>
      <c r="H11" s="11">
        <f t="shared" si="2"/>
        <v>166.30560748535268</v>
      </c>
    </row>
    <row r="12" spans="1:8" x14ac:dyDescent="0.7">
      <c r="A12">
        <v>11</v>
      </c>
      <c r="B12">
        <v>173</v>
      </c>
      <c r="C12" s="11">
        <f t="shared" si="3"/>
        <v>165.5</v>
      </c>
      <c r="D12" s="11">
        <f t="shared" si="4"/>
        <v>1.0453172205438066</v>
      </c>
      <c r="E12" s="11">
        <f t="shared" si="5"/>
        <v>1.0480526558060541</v>
      </c>
      <c r="F12" s="21">
        <f t="shared" si="1"/>
        <v>4.8052655806054112E-2</v>
      </c>
      <c r="G12" s="11">
        <v>1.0480526558060541</v>
      </c>
      <c r="H12" s="11">
        <f t="shared" si="2"/>
        <v>165.06804218433683</v>
      </c>
    </row>
    <row r="13" spans="1:8" x14ac:dyDescent="0.7">
      <c r="A13">
        <v>12</v>
      </c>
      <c r="B13">
        <v>203</v>
      </c>
      <c r="C13" s="11">
        <f t="shared" si="3"/>
        <v>166.54166666666669</v>
      </c>
      <c r="D13" s="11">
        <f t="shared" si="4"/>
        <v>1.2189141856392294</v>
      </c>
      <c r="E13" s="11">
        <f t="shared" si="5"/>
        <v>1.2040049076184032</v>
      </c>
      <c r="F13" s="21">
        <f t="shared" si="1"/>
        <v>0.20400490761840318</v>
      </c>
      <c r="G13" s="11">
        <v>1.2040049076184032</v>
      </c>
      <c r="H13" s="11">
        <f t="shared" si="2"/>
        <v>168.60396391701315</v>
      </c>
    </row>
    <row r="14" spans="1:8" x14ac:dyDescent="0.7">
      <c r="A14">
        <v>13</v>
      </c>
      <c r="B14">
        <v>169</v>
      </c>
      <c r="C14" s="11">
        <f t="shared" si="3"/>
        <v>167</v>
      </c>
      <c r="D14" s="11">
        <f t="shared" si="4"/>
        <v>1.0119760479041917</v>
      </c>
      <c r="G14" s="11">
        <v>0.98823339924446252</v>
      </c>
      <c r="H14" s="11">
        <f t="shared" si="2"/>
        <v>171.01223266609503</v>
      </c>
    </row>
    <row r="15" spans="1:8" x14ac:dyDescent="0.7">
      <c r="A15">
        <v>14</v>
      </c>
      <c r="B15">
        <v>166</v>
      </c>
      <c r="C15" s="11">
        <f t="shared" si="3"/>
        <v>168.20833333333331</v>
      </c>
      <c r="D15" s="11">
        <f t="shared" si="4"/>
        <v>0.98687143918751563</v>
      </c>
      <c r="G15" s="11">
        <v>1.0394595142086607</v>
      </c>
      <c r="H15" s="11">
        <f t="shared" si="2"/>
        <v>159.69837952406988</v>
      </c>
    </row>
    <row r="16" spans="1:8" x14ac:dyDescent="0.7">
      <c r="A16">
        <v>15</v>
      </c>
      <c r="B16">
        <v>162</v>
      </c>
      <c r="C16" s="11">
        <f t="shared" si="3"/>
        <v>170.08333333333331</v>
      </c>
      <c r="D16" s="11">
        <f t="shared" si="4"/>
        <v>0.95247427731504175</v>
      </c>
      <c r="G16" s="11">
        <v>0.93293329171244777</v>
      </c>
      <c r="H16" s="11">
        <f t="shared" si="2"/>
        <v>173.64585596751567</v>
      </c>
    </row>
    <row r="17" spans="1:8" x14ac:dyDescent="0.7">
      <c r="A17">
        <v>16</v>
      </c>
      <c r="B17">
        <v>147</v>
      </c>
      <c r="C17" s="11">
        <f t="shared" si="3"/>
        <v>171.95833333333331</v>
      </c>
      <c r="D17" s="11">
        <f t="shared" si="4"/>
        <v>0.85485825054519027</v>
      </c>
      <c r="G17" s="11">
        <v>0.91259775591054715</v>
      </c>
      <c r="H17" s="11">
        <f t="shared" si="2"/>
        <v>161.07863409474453</v>
      </c>
    </row>
    <row r="18" spans="1:8" x14ac:dyDescent="0.7">
      <c r="A18">
        <v>17</v>
      </c>
      <c r="B18">
        <v>188</v>
      </c>
      <c r="C18" s="11">
        <f t="shared" si="3"/>
        <v>173.875</v>
      </c>
      <c r="D18" s="11">
        <f t="shared" si="4"/>
        <v>1.081236520488857</v>
      </c>
      <c r="G18" s="11">
        <v>1.0430106047420362</v>
      </c>
      <c r="H18" s="11">
        <f t="shared" si="2"/>
        <v>180.24744824765929</v>
      </c>
    </row>
    <row r="19" spans="1:8" x14ac:dyDescent="0.7">
      <c r="A19">
        <v>18</v>
      </c>
      <c r="B19">
        <v>161</v>
      </c>
      <c r="C19" s="11">
        <f t="shared" si="3"/>
        <v>176.08333333333331</v>
      </c>
      <c r="D19" s="11">
        <f t="shared" si="4"/>
        <v>0.91433980123047809</v>
      </c>
      <c r="G19" s="11">
        <v>0.90644245153667458</v>
      </c>
      <c r="H19" s="11">
        <f t="shared" si="2"/>
        <v>177.61745351517879</v>
      </c>
    </row>
    <row r="20" spans="1:8" x14ac:dyDescent="0.7">
      <c r="A20">
        <v>19</v>
      </c>
      <c r="B20">
        <v>162</v>
      </c>
      <c r="C20" s="11">
        <f t="shared" si="3"/>
        <v>178</v>
      </c>
      <c r="D20" s="11">
        <f t="shared" si="4"/>
        <v>0.9101123595505618</v>
      </c>
      <c r="G20" s="11">
        <v>0.92083758937691518</v>
      </c>
      <c r="H20" s="11">
        <f t="shared" si="2"/>
        <v>175.92678868552414</v>
      </c>
    </row>
    <row r="21" spans="1:8" x14ac:dyDescent="0.7">
      <c r="A21">
        <v>20</v>
      </c>
      <c r="B21">
        <v>169</v>
      </c>
      <c r="C21" s="11">
        <f t="shared" si="3"/>
        <v>181</v>
      </c>
      <c r="D21" s="11">
        <f t="shared" si="4"/>
        <v>0.93370165745856348</v>
      </c>
      <c r="G21" s="11">
        <v>0.92662094367181047</v>
      </c>
      <c r="H21" s="11">
        <f t="shared" si="2"/>
        <v>182.38309974985438</v>
      </c>
    </row>
    <row r="22" spans="1:8" x14ac:dyDescent="0.7">
      <c r="A22">
        <v>21</v>
      </c>
      <c r="B22">
        <v>185</v>
      </c>
      <c r="C22" s="11">
        <f t="shared" si="3"/>
        <v>184.125</v>
      </c>
      <c r="D22" s="11">
        <f t="shared" si="4"/>
        <v>1.0047522063815342</v>
      </c>
      <c r="G22" s="11">
        <v>0.98849075287229571</v>
      </c>
      <c r="H22" s="11">
        <f t="shared" si="2"/>
        <v>187.15400165599766</v>
      </c>
    </row>
    <row r="23" spans="1:8" x14ac:dyDescent="0.7">
      <c r="A23">
        <v>22</v>
      </c>
      <c r="B23">
        <v>188</v>
      </c>
      <c r="C23" s="11">
        <f t="shared" si="3"/>
        <v>187.25</v>
      </c>
      <c r="D23" s="11">
        <f t="shared" si="4"/>
        <v>1.0040053404539386</v>
      </c>
      <c r="G23" s="11">
        <v>1.0162014531884298</v>
      </c>
      <c r="H23" s="11">
        <f t="shared" si="2"/>
        <v>185.00268761684202</v>
      </c>
    </row>
    <row r="24" spans="1:8" x14ac:dyDescent="0.7">
      <c r="A24">
        <v>23</v>
      </c>
      <c r="B24">
        <v>200</v>
      </c>
      <c r="C24" s="11">
        <f t="shared" si="3"/>
        <v>190.33333333333331</v>
      </c>
      <c r="D24" s="11">
        <f t="shared" si="4"/>
        <v>1.0507880910683014</v>
      </c>
      <c r="G24" s="11">
        <v>1.0480526558060541</v>
      </c>
      <c r="H24" s="11">
        <f t="shared" si="2"/>
        <v>190.83010657148768</v>
      </c>
    </row>
    <row r="25" spans="1:8" x14ac:dyDescent="0.7">
      <c r="A25">
        <v>24</v>
      </c>
      <c r="B25">
        <v>229</v>
      </c>
      <c r="C25" s="11">
        <f t="shared" si="3"/>
        <v>192.58333333333331</v>
      </c>
      <c r="D25" s="11">
        <f t="shared" si="4"/>
        <v>1.189095629597577</v>
      </c>
      <c r="G25" s="11">
        <v>1.2040049076184032</v>
      </c>
      <c r="H25" s="11">
        <f t="shared" si="2"/>
        <v>190.19856028076853</v>
      </c>
    </row>
    <row r="26" spans="1:8" x14ac:dyDescent="0.7">
      <c r="A26">
        <v>25</v>
      </c>
      <c r="B26">
        <v>189</v>
      </c>
      <c r="C26" s="11">
        <f t="shared" si="3"/>
        <v>195.95833333333331</v>
      </c>
      <c r="D26" s="11">
        <f t="shared" si="4"/>
        <v>0.96449075058473321</v>
      </c>
      <c r="G26" s="11">
        <v>0.98823339924446252</v>
      </c>
      <c r="H26" s="11">
        <f t="shared" si="2"/>
        <v>191.25036670941989</v>
      </c>
    </row>
    <row r="27" spans="1:8" x14ac:dyDescent="0.7">
      <c r="A27">
        <v>26</v>
      </c>
      <c r="B27">
        <v>218</v>
      </c>
      <c r="C27" s="11">
        <f t="shared" si="3"/>
        <v>199.625</v>
      </c>
      <c r="D27" s="11">
        <f t="shared" si="4"/>
        <v>1.0920475892298058</v>
      </c>
      <c r="G27" s="11">
        <v>1.0394595142086607</v>
      </c>
      <c r="H27" s="11">
        <f t="shared" si="2"/>
        <v>209.72437792920022</v>
      </c>
    </row>
    <row r="28" spans="1:8" x14ac:dyDescent="0.7">
      <c r="A28">
        <v>27</v>
      </c>
      <c r="B28">
        <v>185</v>
      </c>
      <c r="C28" s="11">
        <f t="shared" si="3"/>
        <v>202.54166666666669</v>
      </c>
      <c r="D28" s="11">
        <f t="shared" si="4"/>
        <v>0.91339230610985389</v>
      </c>
      <c r="G28" s="11">
        <v>0.93293329171244777</v>
      </c>
      <c r="H28" s="11">
        <f t="shared" si="2"/>
        <v>198.29927996290371</v>
      </c>
    </row>
    <row r="29" spans="1:8" x14ac:dyDescent="0.7">
      <c r="A29">
        <v>28</v>
      </c>
      <c r="B29">
        <v>199</v>
      </c>
      <c r="C29" s="11">
        <f t="shared" si="3"/>
        <v>205.08333333333334</v>
      </c>
      <c r="D29" s="11">
        <f t="shared" si="4"/>
        <v>0.97033726127590403</v>
      </c>
      <c r="G29" s="11">
        <v>0.91259775591054715</v>
      </c>
      <c r="H29" s="11">
        <f t="shared" si="2"/>
        <v>218.0588311894841</v>
      </c>
    </row>
    <row r="30" spans="1:8" x14ac:dyDescent="0.7">
      <c r="A30">
        <v>29</v>
      </c>
      <c r="B30">
        <v>210</v>
      </c>
      <c r="C30" s="11">
        <f t="shared" si="3"/>
        <v>209</v>
      </c>
      <c r="D30" s="11">
        <f t="shared" si="4"/>
        <v>1.0047846889952152</v>
      </c>
      <c r="G30" s="11">
        <v>1.0430106047420362</v>
      </c>
      <c r="H30" s="11">
        <f t="shared" si="2"/>
        <v>201.34023474472582</v>
      </c>
    </row>
    <row r="31" spans="1:8" x14ac:dyDescent="0.7">
      <c r="A31">
        <v>30</v>
      </c>
      <c r="B31">
        <v>193</v>
      </c>
      <c r="C31" s="11">
        <f t="shared" si="3"/>
        <v>214.79166666666666</v>
      </c>
      <c r="D31" s="11">
        <f t="shared" si="4"/>
        <v>0.89854510184287106</v>
      </c>
      <c r="G31" s="11">
        <v>0.90644245153667458</v>
      </c>
      <c r="H31" s="11">
        <f t="shared" si="2"/>
        <v>212.92030141881682</v>
      </c>
    </row>
    <row r="32" spans="1:8" x14ac:dyDescent="0.7">
      <c r="A32">
        <v>31</v>
      </c>
      <c r="B32">
        <v>211</v>
      </c>
      <c r="C32" s="20"/>
      <c r="D32" s="20"/>
      <c r="G32" s="11">
        <v>0.92083758937691518</v>
      </c>
      <c r="H32" s="11">
        <f t="shared" si="2"/>
        <v>229.13921242373823</v>
      </c>
    </row>
    <row r="33" spans="1:8" x14ac:dyDescent="0.7">
      <c r="A33">
        <v>32</v>
      </c>
      <c r="B33">
        <v>208</v>
      </c>
      <c r="C33" s="20"/>
      <c r="D33" s="20"/>
      <c r="G33" s="11">
        <v>0.92662094367181047</v>
      </c>
      <c r="H33" s="11">
        <f t="shared" si="2"/>
        <v>224.47150738443617</v>
      </c>
    </row>
    <row r="34" spans="1:8" x14ac:dyDescent="0.7">
      <c r="A34">
        <v>33</v>
      </c>
      <c r="B34">
        <v>216</v>
      </c>
      <c r="C34" s="20"/>
      <c r="D34" s="20"/>
      <c r="G34" s="11">
        <v>0.98849075287229571</v>
      </c>
      <c r="H34" s="11">
        <f t="shared" si="2"/>
        <v>218.51494247402968</v>
      </c>
    </row>
    <row r="35" spans="1:8" x14ac:dyDescent="0.7">
      <c r="A35">
        <v>34</v>
      </c>
      <c r="B35">
        <v>218</v>
      </c>
      <c r="C35" s="20"/>
      <c r="D35" s="20"/>
      <c r="G35" s="11">
        <v>1.0162014531884298</v>
      </c>
      <c r="H35" s="11">
        <f t="shared" si="2"/>
        <v>214.5243930876147</v>
      </c>
    </row>
    <row r="36" spans="1:8" x14ac:dyDescent="0.7">
      <c r="A36">
        <v>35</v>
      </c>
      <c r="B36">
        <v>264</v>
      </c>
      <c r="C36" s="20"/>
      <c r="D36" s="20"/>
      <c r="G36" s="11">
        <v>1.0480526558060541</v>
      </c>
      <c r="H36" s="11">
        <f t="shared" si="2"/>
        <v>251.89574067436374</v>
      </c>
    </row>
    <row r="37" spans="1:8" x14ac:dyDescent="0.7">
      <c r="A37">
        <v>36</v>
      </c>
      <c r="B37">
        <v>304</v>
      </c>
      <c r="C37" s="20"/>
      <c r="D37" s="20"/>
      <c r="G37" s="11">
        <v>1.2040049076184032</v>
      </c>
      <c r="H37" s="11">
        <f t="shared" si="2"/>
        <v>252.49066517621674</v>
      </c>
    </row>
  </sheetData>
  <phoneticPr fontId="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4"/>
  <sheetViews>
    <sheetView tabSelected="1" workbookViewId="0">
      <pane ySplit="4" topLeftCell="A5" activePane="bottomLeft" state="frozen"/>
      <selection pane="bottomLeft" activeCell="J11" sqref="J11"/>
    </sheetView>
  </sheetViews>
  <sheetFormatPr defaultColWidth="11" defaultRowHeight="19.149999999999999" x14ac:dyDescent="0.7"/>
  <cols>
    <col min="6" max="8" width="10.88671875" customWidth="1"/>
  </cols>
  <sheetData>
    <row r="1" spans="1:8" ht="76.5" x14ac:dyDescent="0.7">
      <c r="A1" s="9" t="s">
        <v>10</v>
      </c>
      <c r="B1" s="9"/>
      <c r="C1" s="10" t="s">
        <v>3</v>
      </c>
      <c r="D1" s="10" t="s">
        <v>11</v>
      </c>
      <c r="E1" s="10" t="s">
        <v>23</v>
      </c>
      <c r="G1" s="10" t="s">
        <v>4</v>
      </c>
      <c r="H1" s="10" t="s">
        <v>5</v>
      </c>
    </row>
    <row r="2" spans="1:8" x14ac:dyDescent="0.7">
      <c r="A2">
        <v>36</v>
      </c>
      <c r="C2" s="14">
        <v>0.30727530582653351</v>
      </c>
      <c r="D2" s="14">
        <v>0.22894703477072695</v>
      </c>
      <c r="E2" s="14">
        <v>0</v>
      </c>
      <c r="G2" s="14">
        <f>SUM(H17:H52)</f>
        <v>3550.6655510074538</v>
      </c>
      <c r="H2" s="14">
        <f>SQRT(G2/33)</f>
        <v>10.372845597429119</v>
      </c>
    </row>
    <row r="4" spans="1:8" s="9" customFormat="1" ht="38.25" x14ac:dyDescent="0.7">
      <c r="A4" s="9" t="s">
        <v>1</v>
      </c>
      <c r="B4" s="9" t="s">
        <v>12</v>
      </c>
      <c r="C4" s="9" t="s">
        <v>13</v>
      </c>
      <c r="D4" s="9" t="s">
        <v>14</v>
      </c>
      <c r="E4" s="9" t="s">
        <v>24</v>
      </c>
      <c r="F4" s="9" t="s">
        <v>7</v>
      </c>
      <c r="G4" s="9" t="s">
        <v>8</v>
      </c>
      <c r="H4" s="9" t="s">
        <v>9</v>
      </c>
    </row>
    <row r="5" spans="1:8" x14ac:dyDescent="0.7">
      <c r="A5" s="15">
        <v>-11</v>
      </c>
      <c r="B5" s="15"/>
      <c r="C5" s="15"/>
      <c r="D5" s="15"/>
      <c r="E5" s="15">
        <v>0.98823339924446252</v>
      </c>
      <c r="F5" s="15"/>
      <c r="G5" s="15"/>
      <c r="H5" s="15"/>
    </row>
    <row r="6" spans="1:8" x14ac:dyDescent="0.7">
      <c r="A6" s="15">
        <v>-10</v>
      </c>
      <c r="B6" s="15"/>
      <c r="C6" s="15"/>
      <c r="D6" s="15"/>
      <c r="E6" s="15">
        <v>1.0394595142086607</v>
      </c>
      <c r="F6" s="15"/>
      <c r="G6" s="15"/>
      <c r="H6" s="15"/>
    </row>
    <row r="7" spans="1:8" x14ac:dyDescent="0.7">
      <c r="A7" s="15">
        <v>-9</v>
      </c>
      <c r="B7" s="15"/>
      <c r="C7" s="15"/>
      <c r="D7" s="15"/>
      <c r="E7" s="15">
        <v>0.93293329171244777</v>
      </c>
      <c r="F7" s="15"/>
      <c r="G7" s="15"/>
      <c r="H7" s="15"/>
    </row>
    <row r="8" spans="1:8" x14ac:dyDescent="0.7">
      <c r="A8" s="15">
        <v>-8</v>
      </c>
      <c r="B8" s="15"/>
      <c r="C8" s="15"/>
      <c r="D8" s="15"/>
      <c r="E8" s="15">
        <v>0.91259775591054715</v>
      </c>
      <c r="F8" s="15"/>
      <c r="G8" s="15"/>
      <c r="H8" s="15"/>
    </row>
    <row r="9" spans="1:8" x14ac:dyDescent="0.7">
      <c r="A9" s="15">
        <v>-7</v>
      </c>
      <c r="B9" s="15"/>
      <c r="C9" s="15"/>
      <c r="D9" s="15"/>
      <c r="E9" s="15">
        <v>1.0430106047420362</v>
      </c>
      <c r="F9" s="15"/>
      <c r="G9" s="15"/>
      <c r="H9" s="15"/>
    </row>
    <row r="10" spans="1:8" x14ac:dyDescent="0.7">
      <c r="A10" s="15">
        <v>-6</v>
      </c>
      <c r="B10" s="15"/>
      <c r="C10" s="15"/>
      <c r="D10" s="15"/>
      <c r="E10" s="15">
        <v>0.90644245153667458</v>
      </c>
      <c r="F10" s="15"/>
      <c r="G10" s="15"/>
      <c r="H10" s="15"/>
    </row>
    <row r="11" spans="1:8" x14ac:dyDescent="0.7">
      <c r="A11" s="15">
        <v>-5</v>
      </c>
      <c r="B11" s="15"/>
      <c r="C11" s="15"/>
      <c r="D11" s="15"/>
      <c r="E11" s="15">
        <v>0.92083758937691518</v>
      </c>
      <c r="F11" s="15"/>
      <c r="G11" s="15"/>
      <c r="H11" s="15"/>
    </row>
    <row r="12" spans="1:8" x14ac:dyDescent="0.7">
      <c r="A12" s="15">
        <v>-4</v>
      </c>
      <c r="B12" s="15"/>
      <c r="C12" s="15"/>
      <c r="D12" s="15"/>
      <c r="E12" s="15">
        <v>0.92662094367181047</v>
      </c>
      <c r="F12" s="15"/>
      <c r="G12" s="15"/>
      <c r="H12" s="15"/>
    </row>
    <row r="13" spans="1:8" x14ac:dyDescent="0.7">
      <c r="A13" s="15">
        <v>-3</v>
      </c>
      <c r="B13" s="15"/>
      <c r="C13" s="15"/>
      <c r="D13" s="15"/>
      <c r="E13" s="15">
        <v>0.98849075287229571</v>
      </c>
      <c r="F13" s="15"/>
      <c r="G13" s="15"/>
      <c r="H13" s="15"/>
    </row>
    <row r="14" spans="1:8" x14ac:dyDescent="0.7">
      <c r="A14" s="15">
        <v>-2</v>
      </c>
      <c r="B14" s="15"/>
      <c r="C14" s="15"/>
      <c r="D14" s="15"/>
      <c r="E14" s="15">
        <v>1.0162014531884298</v>
      </c>
      <c r="F14" s="15"/>
      <c r="G14" s="15"/>
      <c r="H14" s="15"/>
    </row>
    <row r="15" spans="1:8" x14ac:dyDescent="0.7">
      <c r="A15" s="15">
        <v>-1</v>
      </c>
      <c r="B15" s="15"/>
      <c r="C15" s="15"/>
      <c r="D15" s="15"/>
      <c r="E15" s="15">
        <v>1.0480526558060541</v>
      </c>
      <c r="F15" s="15"/>
      <c r="G15" s="15"/>
      <c r="H15" s="15"/>
    </row>
    <row r="16" spans="1:8" x14ac:dyDescent="0.7">
      <c r="A16" s="15">
        <v>0</v>
      </c>
      <c r="B16" s="15"/>
      <c r="C16" s="15">
        <v>144.41999999999999</v>
      </c>
      <c r="D16" s="23">
        <v>2.2094999999999998</v>
      </c>
      <c r="E16" s="15">
        <v>1.2040049076184032</v>
      </c>
      <c r="F16" s="15"/>
      <c r="G16" s="15"/>
      <c r="H16" s="15"/>
    </row>
    <row r="17" spans="1:8" x14ac:dyDescent="0.7">
      <c r="A17">
        <v>1</v>
      </c>
      <c r="B17">
        <v>165</v>
      </c>
      <c r="C17" s="14">
        <f>$C$2*B17/E5+(1-$C$2)*(C16+D16)</f>
        <v>152.87797587135674</v>
      </c>
      <c r="D17" s="14">
        <f>$D$2*(C17-C16)+(1-$D$2)*D16</f>
        <v>3.6400700225835623</v>
      </c>
      <c r="E17" s="24">
        <f>$E$2*(B17/C17)+(1-$E$2)*E5</f>
        <v>0.98823339924446252</v>
      </c>
      <c r="F17" s="14">
        <f>(C16+D16)*E5</f>
        <v>144.90416921451589</v>
      </c>
      <c r="G17" s="14">
        <f>B17-F17</f>
        <v>20.095830785484111</v>
      </c>
      <c r="H17" s="14">
        <f>G17^2</f>
        <v>403.84241495881093</v>
      </c>
    </row>
    <row r="18" spans="1:8" x14ac:dyDescent="0.7">
      <c r="A18">
        <v>2</v>
      </c>
      <c r="B18">
        <v>171</v>
      </c>
      <c r="C18" s="14">
        <f t="shared" ref="C18:C64" si="0">$C$2*B18/E6+(1-$C$2)*(C17+D17)</f>
        <v>158.97333714807783</v>
      </c>
      <c r="D18" s="14">
        <f t="shared" ref="D18:D64" si="1">$D$2*(C18-C17)+(1-$D$2)*D17</f>
        <v>4.2022016747168491</v>
      </c>
      <c r="E18" s="24">
        <f t="shared" ref="E18:E64" si="2">$E$2*(B18/C18)+(1-$E$2)*E6</f>
        <v>1.0394595142086607</v>
      </c>
      <c r="F18" s="14">
        <f t="shared" ref="F18:F64" si="3">(C17+D17)*E6</f>
        <v>162.69417194980403</v>
      </c>
      <c r="G18" s="14">
        <f t="shared" ref="G18:G64" si="4">B18-F18</f>
        <v>8.30582805019597</v>
      </c>
      <c r="H18" s="14">
        <f t="shared" ref="H18:H64" si="5">G18^2</f>
        <v>68.986779599422192</v>
      </c>
    </row>
    <row r="19" spans="1:8" x14ac:dyDescent="0.7">
      <c r="A19">
        <v>3</v>
      </c>
      <c r="B19">
        <v>147</v>
      </c>
      <c r="C19" s="14">
        <f t="shared" si="0"/>
        <v>161.45233803128701</v>
      </c>
      <c r="D19" s="14">
        <f t="shared" si="1"/>
        <v>3.8076799631865992</v>
      </c>
      <c r="E19" s="24">
        <f t="shared" si="2"/>
        <v>0.93293329171244777</v>
      </c>
      <c r="F19" s="14">
        <f t="shared" si="3"/>
        <v>152.23189256090217</v>
      </c>
      <c r="G19" s="14">
        <f t="shared" si="4"/>
        <v>-5.2318925609021676</v>
      </c>
      <c r="H19" s="14">
        <f t="shared" si="5"/>
        <v>27.372699768823441</v>
      </c>
    </row>
    <row r="20" spans="1:8" x14ac:dyDescent="0.7">
      <c r="A20">
        <v>4</v>
      </c>
      <c r="B20">
        <v>143</v>
      </c>
      <c r="C20" s="14">
        <f t="shared" si="0"/>
        <v>162.62836601726451</v>
      </c>
      <c r="D20" s="14">
        <f t="shared" si="1"/>
        <v>3.205171046456055</v>
      </c>
      <c r="E20" s="24">
        <f t="shared" si="2"/>
        <v>0.91259775591054715</v>
      </c>
      <c r="F20" s="14">
        <f t="shared" si="3"/>
        <v>150.81592156349325</v>
      </c>
      <c r="G20" s="14">
        <f t="shared" si="4"/>
        <v>-7.815921563493248</v>
      </c>
      <c r="H20" s="14">
        <f t="shared" si="5"/>
        <v>61.088629886678739</v>
      </c>
    </row>
    <row r="21" spans="1:8" x14ac:dyDescent="0.7">
      <c r="A21">
        <v>5</v>
      </c>
      <c r="B21">
        <v>164</v>
      </c>
      <c r="C21" s="14">
        <f t="shared" si="0"/>
        <v>163.1920752073365</v>
      </c>
      <c r="D21" s="14">
        <f t="shared" si="1"/>
        <v>2.6004161869769433</v>
      </c>
      <c r="E21" s="24">
        <f t="shared" si="2"/>
        <v>1.0430106047420362</v>
      </c>
      <c r="F21" s="14">
        <f t="shared" si="3"/>
        <v>172.96613777934206</v>
      </c>
      <c r="G21" s="14">
        <f t="shared" si="4"/>
        <v>-8.9661377793420627</v>
      </c>
      <c r="H21" s="14">
        <f t="shared" si="5"/>
        <v>80.391626678145016</v>
      </c>
    </row>
    <row r="22" spans="1:8" x14ac:dyDescent="0.7">
      <c r="A22">
        <v>6</v>
      </c>
      <c r="B22">
        <v>160</v>
      </c>
      <c r="C22" s="14">
        <f t="shared" si="0"/>
        <v>169.0870198280727</v>
      </c>
      <c r="D22" s="14">
        <f t="shared" si="1"/>
        <v>3.3546887028539718</v>
      </c>
      <c r="E22" s="24">
        <f t="shared" si="2"/>
        <v>0.90644245153667458</v>
      </c>
      <c r="F22" s="14">
        <f t="shared" si="3"/>
        <v>150.28135234583451</v>
      </c>
      <c r="G22" s="14">
        <f t="shared" si="4"/>
        <v>9.718647654165494</v>
      </c>
      <c r="H22" s="14">
        <f t="shared" si="5"/>
        <v>94.452112225816464</v>
      </c>
    </row>
    <row r="23" spans="1:8" x14ac:dyDescent="0.7">
      <c r="A23">
        <v>7</v>
      </c>
      <c r="B23">
        <v>152</v>
      </c>
      <c r="C23" s="14">
        <f t="shared" si="0"/>
        <v>170.17567662617267</v>
      </c>
      <c r="D23" s="14">
        <f t="shared" si="1"/>
        <v>2.835887417564682</v>
      </c>
      <c r="E23" s="24">
        <f t="shared" si="2"/>
        <v>0.92083758937691518</v>
      </c>
      <c r="F23" s="14">
        <f t="shared" si="3"/>
        <v>158.79080719165515</v>
      </c>
      <c r="G23" s="14">
        <f t="shared" si="4"/>
        <v>-6.7908071916551478</v>
      </c>
      <c r="H23" s="14">
        <f t="shared" si="5"/>
        <v>46.115062314235274</v>
      </c>
    </row>
    <row r="24" spans="1:8" x14ac:dyDescent="0.7">
      <c r="A24">
        <v>8</v>
      </c>
      <c r="B24">
        <v>150</v>
      </c>
      <c r="C24" s="14">
        <f t="shared" si="0"/>
        <v>169.59064558939386</v>
      </c>
      <c r="D24" s="14">
        <f t="shared" si="1"/>
        <v>2.0526782812502797</v>
      </c>
      <c r="E24" s="24">
        <f t="shared" si="2"/>
        <v>0.92662094367181047</v>
      </c>
      <c r="F24" s="14">
        <f t="shared" si="3"/>
        <v>160.3161387403438</v>
      </c>
      <c r="G24" s="14">
        <f t="shared" si="4"/>
        <v>-10.316138740343803</v>
      </c>
      <c r="H24" s="14">
        <f t="shared" si="5"/>
        <v>106.42271851002222</v>
      </c>
    </row>
    <row r="25" spans="1:8" x14ac:dyDescent="0.7">
      <c r="A25">
        <v>9</v>
      </c>
      <c r="B25">
        <v>159</v>
      </c>
      <c r="C25" s="14">
        <f t="shared" si="0"/>
        <v>168.32719439837405</v>
      </c>
      <c r="D25" s="14">
        <f t="shared" si="1"/>
        <v>1.2934602716582266</v>
      </c>
      <c r="E25" s="24">
        <f t="shared" si="2"/>
        <v>0.98849075287229571</v>
      </c>
      <c r="F25" s="14">
        <f t="shared" si="3"/>
        <v>169.6678384383963</v>
      </c>
      <c r="G25" s="14">
        <f t="shared" si="4"/>
        <v>-10.667838438396302</v>
      </c>
      <c r="H25" s="14">
        <f t="shared" si="5"/>
        <v>113.80277694772565</v>
      </c>
    </row>
    <row r="26" spans="1:8" x14ac:dyDescent="0.7">
      <c r="A26">
        <v>10</v>
      </c>
      <c r="B26">
        <v>169</v>
      </c>
      <c r="C26" s="14">
        <f t="shared" si="0"/>
        <v>168.60202253253047</v>
      </c>
      <c r="D26" s="14">
        <f t="shared" si="1"/>
        <v>1.060247464255021</v>
      </c>
      <c r="E26" s="24">
        <f t="shared" si="2"/>
        <v>1.0162014531884298</v>
      </c>
      <c r="F26" s="14">
        <f t="shared" si="3"/>
        <v>172.36875576645963</v>
      </c>
      <c r="G26" s="14">
        <f t="shared" si="4"/>
        <v>-3.3687557664596284</v>
      </c>
      <c r="H26" s="14">
        <f t="shared" si="5"/>
        <v>11.348515414054999</v>
      </c>
    </row>
    <row r="27" spans="1:8" x14ac:dyDescent="0.7">
      <c r="A27">
        <v>11</v>
      </c>
      <c r="B27">
        <v>173</v>
      </c>
      <c r="C27" s="14">
        <f t="shared" si="0"/>
        <v>168.25057724067855</v>
      </c>
      <c r="D27" s="14">
        <f t="shared" si="1"/>
        <v>0.73704459373702258</v>
      </c>
      <c r="E27" s="24">
        <f t="shared" si="2"/>
        <v>1.0480526558060541</v>
      </c>
      <c r="F27" s="14">
        <f t="shared" si="3"/>
        <v>177.81499266021484</v>
      </c>
      <c r="G27" s="14">
        <f t="shared" si="4"/>
        <v>-4.8149926602148412</v>
      </c>
      <c r="H27" s="14">
        <f t="shared" si="5"/>
        <v>23.184154317922793</v>
      </c>
    </row>
    <row r="28" spans="1:8" x14ac:dyDescent="0.7">
      <c r="A28">
        <v>12</v>
      </c>
      <c r="B28">
        <v>203</v>
      </c>
      <c r="C28" s="14">
        <f t="shared" si="0"/>
        <v>168.86973323051296</v>
      </c>
      <c r="D28" s="14">
        <f t="shared" si="1"/>
        <v>0.71005434744025897</v>
      </c>
      <c r="E28" s="24">
        <f t="shared" si="2"/>
        <v>1.2040049076184032</v>
      </c>
      <c r="F28" s="14">
        <f t="shared" si="3"/>
        <v>203.46192601539917</v>
      </c>
      <c r="G28" s="14">
        <f t="shared" si="4"/>
        <v>-0.46192601539917177</v>
      </c>
      <c r="H28" s="14">
        <f t="shared" si="5"/>
        <v>0.21337564370255588</v>
      </c>
    </row>
    <row r="29" spans="1:8" x14ac:dyDescent="0.7">
      <c r="A29">
        <v>13</v>
      </c>
      <c r="B29">
        <v>169</v>
      </c>
      <c r="C29" s="14">
        <f t="shared" si="0"/>
        <v>170.01994258049172</v>
      </c>
      <c r="D29" s="14">
        <f t="shared" si="1"/>
        <v>0.81082653011094874</v>
      </c>
      <c r="E29" s="24">
        <f t="shared" si="2"/>
        <v>0.98823339924446252</v>
      </c>
      <c r="F29" s="14">
        <f t="shared" si="3"/>
        <v>167.5844099213146</v>
      </c>
      <c r="G29" s="14">
        <f t="shared" si="4"/>
        <v>1.4155900786853977</v>
      </c>
      <c r="H29" s="14">
        <f t="shared" si="5"/>
        <v>2.0038952708725302</v>
      </c>
    </row>
    <row r="30" spans="1:8" x14ac:dyDescent="0.7">
      <c r="A30">
        <v>14</v>
      </c>
      <c r="B30">
        <v>166</v>
      </c>
      <c r="C30" s="14">
        <f t="shared" si="0"/>
        <v>167.41006069582068</v>
      </c>
      <c r="D30" s="14">
        <f t="shared" si="1"/>
        <v>2.7665481731338537E-2</v>
      </c>
      <c r="E30" s="24">
        <f t="shared" si="2"/>
        <v>1.0394595142086607</v>
      </c>
      <c r="F30" s="14">
        <f t="shared" si="3"/>
        <v>177.57166827159892</v>
      </c>
      <c r="G30" s="14">
        <f t="shared" si="4"/>
        <v>-11.571668271598924</v>
      </c>
      <c r="H30" s="14">
        <f t="shared" si="5"/>
        <v>133.90350658792923</v>
      </c>
    </row>
    <row r="31" spans="1:8" x14ac:dyDescent="0.7">
      <c r="A31">
        <v>15</v>
      </c>
      <c r="B31">
        <v>162</v>
      </c>
      <c r="C31" s="14">
        <f t="shared" si="0"/>
        <v>169.34533115737389</v>
      </c>
      <c r="D31" s="14">
        <f t="shared" si="1"/>
        <v>0.46440598537542982</v>
      </c>
      <c r="E31" s="24">
        <f t="shared" si="2"/>
        <v>0.93293329171244777</v>
      </c>
      <c r="F31" s="14">
        <f t="shared" si="3"/>
        <v>156.20822903967107</v>
      </c>
      <c r="G31" s="14">
        <f t="shared" si="4"/>
        <v>5.7917709603289325</v>
      </c>
      <c r="H31" s="14">
        <f t="shared" si="5"/>
        <v>33.544610856909522</v>
      </c>
    </row>
    <row r="32" spans="1:8" x14ac:dyDescent="0.7">
      <c r="A32">
        <v>16</v>
      </c>
      <c r="B32">
        <v>147</v>
      </c>
      <c r="C32" s="14">
        <f t="shared" si="0"/>
        <v>167.12688478347067</v>
      </c>
      <c r="D32" s="14">
        <f t="shared" si="1"/>
        <v>-0.14982510700906598</v>
      </c>
      <c r="E32" s="24">
        <f t="shared" si="2"/>
        <v>0.91259775591054715</v>
      </c>
      <c r="F32" s="14">
        <f t="shared" si="3"/>
        <v>154.96798504823292</v>
      </c>
      <c r="G32" s="14">
        <f t="shared" si="4"/>
        <v>-7.9679850482329186</v>
      </c>
      <c r="H32" s="14">
        <f t="shared" si="5"/>
        <v>63.488785728863348</v>
      </c>
    </row>
    <row r="33" spans="1:8" x14ac:dyDescent="0.7">
      <c r="A33">
        <v>17</v>
      </c>
      <c r="B33">
        <v>188</v>
      </c>
      <c r="C33" s="14">
        <f t="shared" si="0"/>
        <v>171.0547223831133</v>
      </c>
      <c r="D33" s="14">
        <f t="shared" si="1"/>
        <v>0.78374367847401627</v>
      </c>
      <c r="E33" s="24">
        <f t="shared" si="2"/>
        <v>1.0430106047420362</v>
      </c>
      <c r="F33" s="14">
        <f t="shared" si="3"/>
        <v>174.15884399119329</v>
      </c>
      <c r="G33" s="14">
        <f t="shared" si="4"/>
        <v>13.841156008806706</v>
      </c>
      <c r="H33" s="14">
        <f t="shared" si="5"/>
        <v>191.577599660126</v>
      </c>
    </row>
    <row r="34" spans="1:8" x14ac:dyDescent="0.7">
      <c r="A34">
        <v>18</v>
      </c>
      <c r="B34">
        <v>161</v>
      </c>
      <c r="C34" s="14">
        <f t="shared" si="0"/>
        <v>173.61420619875736</v>
      </c>
      <c r="D34" s="14">
        <f t="shared" si="1"/>
        <v>1.190294117402461</v>
      </c>
      <c r="E34" s="24">
        <f t="shared" si="2"/>
        <v>0.90644245153667458</v>
      </c>
      <c r="F34" s="14">
        <f t="shared" si="3"/>
        <v>155.76168044516686</v>
      </c>
      <c r="G34" s="14">
        <f t="shared" si="4"/>
        <v>5.23831955483314</v>
      </c>
      <c r="H34" s="14">
        <f t="shared" si="5"/>
        <v>27.439991758547265</v>
      </c>
    </row>
    <row r="35" spans="1:8" x14ac:dyDescent="0.7">
      <c r="A35">
        <v>19</v>
      </c>
      <c r="B35">
        <v>162</v>
      </c>
      <c r="C35" s="14">
        <f t="shared" si="0"/>
        <v>175.14935181808181</v>
      </c>
      <c r="D35" s="14">
        <f t="shared" si="1"/>
        <v>1.2692468462037327</v>
      </c>
      <c r="E35" s="24">
        <f t="shared" si="2"/>
        <v>0.92083758937691518</v>
      </c>
      <c r="F35" s="14">
        <f t="shared" si="3"/>
        <v>160.96655468336883</v>
      </c>
      <c r="G35" s="14">
        <f t="shared" si="4"/>
        <v>1.0334453166311732</v>
      </c>
      <c r="H35" s="14">
        <f t="shared" si="5"/>
        <v>1.068009222466906</v>
      </c>
    </row>
    <row r="36" spans="1:8" x14ac:dyDescent="0.7">
      <c r="A36">
        <v>20</v>
      </c>
      <c r="B36">
        <v>169</v>
      </c>
      <c r="C36" s="14">
        <f t="shared" si="0"/>
        <v>178.25134255945642</v>
      </c>
      <c r="D36" s="14">
        <f t="shared" si="1"/>
        <v>1.6888481264972564</v>
      </c>
      <c r="E36" s="24">
        <f t="shared" si="2"/>
        <v>0.92662094367181047</v>
      </c>
      <c r="F36" s="14">
        <f t="shared" si="3"/>
        <v>163.47316837555869</v>
      </c>
      <c r="G36" s="14">
        <f t="shared" si="4"/>
        <v>5.5268316244413143</v>
      </c>
      <c r="H36" s="14">
        <f t="shared" si="5"/>
        <v>30.545867804924615</v>
      </c>
    </row>
    <row r="37" spans="1:8" x14ac:dyDescent="0.7">
      <c r="A37">
        <v>21</v>
      </c>
      <c r="B37">
        <v>185</v>
      </c>
      <c r="C37" s="14">
        <f t="shared" si="0"/>
        <v>182.15681665794872</v>
      </c>
      <c r="D37" s="14">
        <f t="shared" si="1"/>
        <v>2.1963380699813033</v>
      </c>
      <c r="E37" s="24">
        <f t="shared" si="2"/>
        <v>0.98849075287229571</v>
      </c>
      <c r="F37" s="14">
        <f t="shared" si="3"/>
        <v>177.8692145631428</v>
      </c>
      <c r="G37" s="14">
        <f t="shared" si="4"/>
        <v>7.1307854368571952</v>
      </c>
      <c r="H37" s="14">
        <f t="shared" si="5"/>
        <v>50.848100946494661</v>
      </c>
    </row>
    <row r="38" spans="1:8" x14ac:dyDescent="0.7">
      <c r="A38">
        <v>22</v>
      </c>
      <c r="B38">
        <v>188</v>
      </c>
      <c r="C38" s="14">
        <f t="shared" si="0"/>
        <v>184.55274014501484</v>
      </c>
      <c r="D38" s="14">
        <f t="shared" si="1"/>
        <v>2.2420325594063493</v>
      </c>
      <c r="E38" s="24">
        <f t="shared" si="2"/>
        <v>1.0162014531884298</v>
      </c>
      <c r="F38" s="14">
        <f t="shared" si="3"/>
        <v>187.33994373439393</v>
      </c>
      <c r="G38" s="14">
        <f t="shared" si="4"/>
        <v>0.66005626560607311</v>
      </c>
      <c r="H38" s="14">
        <f t="shared" si="5"/>
        <v>0.43567427376583495</v>
      </c>
    </row>
    <row r="39" spans="1:8" x14ac:dyDescent="0.7">
      <c r="A39">
        <v>23</v>
      </c>
      <c r="B39">
        <v>200</v>
      </c>
      <c r="C39" s="14">
        <f t="shared" si="0"/>
        <v>188.03473115253621</v>
      </c>
      <c r="D39" s="14">
        <f t="shared" si="1"/>
        <v>2.525917369341196</v>
      </c>
      <c r="E39" s="24">
        <f t="shared" si="2"/>
        <v>1.0480526558060541</v>
      </c>
      <c r="F39" s="14">
        <f t="shared" si="3"/>
        <v>195.77075762355685</v>
      </c>
      <c r="G39" s="14">
        <f t="shared" si="4"/>
        <v>4.2292423764431533</v>
      </c>
      <c r="H39" s="14">
        <f t="shared" si="5"/>
        <v>17.88649107870253</v>
      </c>
    </row>
    <row r="40" spans="1:8" x14ac:dyDescent="0.7">
      <c r="A40">
        <v>24</v>
      </c>
      <c r="B40">
        <v>229</v>
      </c>
      <c r="C40" s="14">
        <f t="shared" si="0"/>
        <v>190.44938774685448</v>
      </c>
      <c r="D40" s="14">
        <f t="shared" si="1"/>
        <v>2.5004445448134049</v>
      </c>
      <c r="E40" s="24">
        <f t="shared" si="2"/>
        <v>1.2040049076184032</v>
      </c>
      <c r="F40" s="14">
        <f t="shared" si="3"/>
        <v>229.43595601928598</v>
      </c>
      <c r="G40" s="14">
        <f t="shared" si="4"/>
        <v>-0.43595601928598171</v>
      </c>
      <c r="H40" s="14">
        <f t="shared" si="5"/>
        <v>0.19005765075167927</v>
      </c>
    </row>
    <row r="41" spans="1:8" x14ac:dyDescent="0.7">
      <c r="A41">
        <v>25</v>
      </c>
      <c r="B41">
        <v>189</v>
      </c>
      <c r="C41" s="14">
        <f t="shared" si="0"/>
        <v>192.42762848514099</v>
      </c>
      <c r="D41" s="14">
        <f t="shared" si="1"/>
        <v>2.3808875317630842</v>
      </c>
      <c r="E41" s="24">
        <f t="shared" si="2"/>
        <v>0.98823339924446252</v>
      </c>
      <c r="F41" s="14">
        <f t="shared" si="3"/>
        <v>190.67946864924392</v>
      </c>
      <c r="G41" s="14">
        <f t="shared" si="4"/>
        <v>-1.6794686492439155</v>
      </c>
      <c r="H41" s="14">
        <f t="shared" si="5"/>
        <v>2.8206149437931818</v>
      </c>
    </row>
    <row r="42" spans="1:8" x14ac:dyDescent="0.7">
      <c r="A42">
        <v>26</v>
      </c>
      <c r="B42">
        <v>218</v>
      </c>
      <c r="C42" s="14">
        <f t="shared" si="0"/>
        <v>199.39179204767123</v>
      </c>
      <c r="D42" s="14">
        <f t="shared" si="1"/>
        <v>3.4302149885429731</v>
      </c>
      <c r="E42" s="24">
        <f t="shared" si="2"/>
        <v>1.0394595142086607</v>
      </c>
      <c r="F42" s="14">
        <f t="shared" si="3"/>
        <v>202.49556542264119</v>
      </c>
      <c r="G42" s="14">
        <f t="shared" si="4"/>
        <v>15.504434577358808</v>
      </c>
      <c r="H42" s="14">
        <f t="shared" si="5"/>
        <v>240.38749156359938</v>
      </c>
    </row>
    <row r="43" spans="1:8" x14ac:dyDescent="0.7">
      <c r="A43">
        <v>27</v>
      </c>
      <c r="B43">
        <v>185</v>
      </c>
      <c r="C43" s="14">
        <f t="shared" si="0"/>
        <v>201.43228469159277</v>
      </c>
      <c r="D43" s="14">
        <f t="shared" si="1"/>
        <v>3.1120421785872732</v>
      </c>
      <c r="E43" s="24">
        <f t="shared" si="2"/>
        <v>0.93293329171244777</v>
      </c>
      <c r="F43" s="14">
        <f t="shared" si="3"/>
        <v>189.21940265602058</v>
      </c>
      <c r="G43" s="14">
        <f t="shared" si="4"/>
        <v>-4.2194026560205771</v>
      </c>
      <c r="H43" s="14">
        <f t="shared" si="5"/>
        <v>17.803358773633501</v>
      </c>
    </row>
    <row r="44" spans="1:8" x14ac:dyDescent="0.7">
      <c r="A44">
        <v>28</v>
      </c>
      <c r="B44">
        <v>199</v>
      </c>
      <c r="C44" s="14">
        <f t="shared" si="0"/>
        <v>208.6970003179882</v>
      </c>
      <c r="D44" s="14">
        <f t="shared" si="1"/>
        <v>4.0627844508340809</v>
      </c>
      <c r="E44" s="24">
        <f t="shared" si="2"/>
        <v>0.91259775591054715</v>
      </c>
      <c r="F44" s="14">
        <f t="shared" si="3"/>
        <v>186.66669368595973</v>
      </c>
      <c r="G44" s="14">
        <f t="shared" si="4"/>
        <v>12.333306314040271</v>
      </c>
      <c r="H44" s="14">
        <f t="shared" si="5"/>
        <v>152.11044463594564</v>
      </c>
    </row>
    <row r="45" spans="1:8" x14ac:dyDescent="0.7">
      <c r="A45">
        <v>29</v>
      </c>
      <c r="B45">
        <v>210</v>
      </c>
      <c r="C45" s="14">
        <f t="shared" si="0"/>
        <v>209.25083904276664</v>
      </c>
      <c r="D45" s="14">
        <f t="shared" si="1"/>
        <v>3.2594217316822274</v>
      </c>
      <c r="E45" s="24">
        <f t="shared" si="2"/>
        <v>1.0430106047420362</v>
      </c>
      <c r="F45" s="14">
        <f t="shared" si="3"/>
        <v>221.91071177651477</v>
      </c>
      <c r="G45" s="14">
        <f t="shared" si="4"/>
        <v>-11.910711776514773</v>
      </c>
      <c r="H45" s="14">
        <f t="shared" si="5"/>
        <v>141.8650550232077</v>
      </c>
    </row>
    <row r="46" spans="1:8" x14ac:dyDescent="0.7">
      <c r="A46">
        <v>30</v>
      </c>
      <c r="B46">
        <v>193</v>
      </c>
      <c r="C46" s="14">
        <f t="shared" si="0"/>
        <v>212.63625613884835</v>
      </c>
      <c r="D46" s="14">
        <f t="shared" si="1"/>
        <v>3.2882679967563462</v>
      </c>
      <c r="E46" s="24">
        <f t="shared" si="2"/>
        <v>0.90644245153667458</v>
      </c>
      <c r="F46" s="14">
        <f t="shared" si="3"/>
        <v>192.62832175308947</v>
      </c>
      <c r="G46" s="14">
        <f t="shared" si="4"/>
        <v>0.37167824691053397</v>
      </c>
      <c r="H46" s="14">
        <f t="shared" si="5"/>
        <v>0.13814471922648786</v>
      </c>
    </row>
    <row r="47" spans="1:8" x14ac:dyDescent="0.7">
      <c r="A47">
        <v>31</v>
      </c>
      <c r="B47">
        <v>211</v>
      </c>
      <c r="C47" s="14">
        <f t="shared" si="0"/>
        <v>219.98507152074325</v>
      </c>
      <c r="D47" s="14">
        <f t="shared" si="1"/>
        <v>4.2179182801298456</v>
      </c>
      <c r="E47" s="24">
        <f t="shared" si="2"/>
        <v>0.92083758937691518</v>
      </c>
      <c r="F47" s="14">
        <f t="shared" si="3"/>
        <v>198.83141829238778</v>
      </c>
      <c r="G47" s="14">
        <f t="shared" si="4"/>
        <v>12.168581707612219</v>
      </c>
      <c r="H47" s="14">
        <f t="shared" si="5"/>
        <v>148.07438077483471</v>
      </c>
    </row>
    <row r="48" spans="1:8" x14ac:dyDescent="0.7">
      <c r="A48">
        <v>32</v>
      </c>
      <c r="B48">
        <v>208</v>
      </c>
      <c r="C48" s="14">
        <f t="shared" si="0"/>
        <v>224.28549862348223</v>
      </c>
      <c r="D48" s="14">
        <f t="shared" si="1"/>
        <v>4.2368084304086304</v>
      </c>
      <c r="E48" s="24">
        <f t="shared" si="2"/>
        <v>0.92662094367181047</v>
      </c>
      <c r="F48" s="14">
        <f t="shared" si="3"/>
        <v>207.75118598332634</v>
      </c>
      <c r="G48" s="14">
        <f t="shared" si="4"/>
        <v>0.24881401667366276</v>
      </c>
      <c r="H48" s="14">
        <f t="shared" si="5"/>
        <v>6.1908414893281728E-2</v>
      </c>
    </row>
    <row r="49" spans="1:8" x14ac:dyDescent="0.7">
      <c r="A49">
        <v>33</v>
      </c>
      <c r="B49">
        <v>216</v>
      </c>
      <c r="C49" s="14">
        <f t="shared" si="0"/>
        <v>225.44729104209642</v>
      </c>
      <c r="D49" s="14">
        <f t="shared" si="1"/>
        <v>3.5327926326357879</v>
      </c>
      <c r="E49" s="24">
        <f t="shared" si="2"/>
        <v>0.98849075287229571</v>
      </c>
      <c r="F49" s="14">
        <f t="shared" si="3"/>
        <v>225.89218734781451</v>
      </c>
      <c r="G49" s="14">
        <f t="shared" si="4"/>
        <v>-9.892187347814513</v>
      </c>
      <c r="H49" s="14">
        <f t="shared" si="5"/>
        <v>97.855370524261531</v>
      </c>
    </row>
    <row r="50" spans="1:8" x14ac:dyDescent="0.7">
      <c r="A50">
        <v>34</v>
      </c>
      <c r="B50">
        <v>218</v>
      </c>
      <c r="C50" s="14">
        <f t="shared" si="0"/>
        <v>224.53820692864196</v>
      </c>
      <c r="D50" s="14">
        <f t="shared" si="1"/>
        <v>2.5158381228013784</v>
      </c>
      <c r="E50" s="24">
        <f t="shared" si="2"/>
        <v>1.0162014531884298</v>
      </c>
      <c r="F50" s="14">
        <f t="shared" si="3"/>
        <v>232.68989378147111</v>
      </c>
      <c r="G50" s="14">
        <f t="shared" si="4"/>
        <v>-14.689893781471113</v>
      </c>
      <c r="H50" s="14">
        <f t="shared" si="5"/>
        <v>215.79297931090369</v>
      </c>
    </row>
    <row r="51" spans="1:8" x14ac:dyDescent="0.7">
      <c r="A51">
        <v>35</v>
      </c>
      <c r="B51">
        <v>264</v>
      </c>
      <c r="C51" s="14">
        <f t="shared" si="0"/>
        <v>234.68728467122585</v>
      </c>
      <c r="D51" s="14">
        <f t="shared" si="1"/>
        <v>4.2634456994450174</v>
      </c>
      <c r="E51" s="24">
        <f t="shared" si="2"/>
        <v>1.0480526558060541</v>
      </c>
      <c r="F51" s="14">
        <f t="shared" si="3"/>
        <v>237.96459492767264</v>
      </c>
      <c r="G51" s="14">
        <f t="shared" si="4"/>
        <v>26.035405072327364</v>
      </c>
      <c r="H51" s="14">
        <f t="shared" si="5"/>
        <v>677.84231728016948</v>
      </c>
    </row>
    <row r="52" spans="1:8" x14ac:dyDescent="0.7">
      <c r="A52">
        <v>36</v>
      </c>
      <c r="B52">
        <v>304</v>
      </c>
      <c r="C52" s="14">
        <f t="shared" si="0"/>
        <v>243.1112179789163</v>
      </c>
      <c r="D52" s="14">
        <f t="shared" si="1"/>
        <v>5.2159770005531625</v>
      </c>
      <c r="E52" s="24">
        <f t="shared" si="2"/>
        <v>1.2040049076184032</v>
      </c>
      <c r="F52" s="14">
        <f t="shared" si="3"/>
        <v>287.69785204528955</v>
      </c>
      <c r="G52" s="14">
        <f t="shared" si="4"/>
        <v>16.302147954710449</v>
      </c>
      <c r="H52" s="14">
        <f t="shared" si="5"/>
        <v>265.76002793727008</v>
      </c>
    </row>
    <row r="53" spans="1:8" x14ac:dyDescent="0.7">
      <c r="A53" s="15">
        <v>37</v>
      </c>
      <c r="B53" s="25">
        <f>(C$52+(A53-A$52)*D$52)*E41</f>
        <v>245.40522801940352</v>
      </c>
      <c r="C53" s="14"/>
      <c r="D53" s="14"/>
      <c r="E53" s="24"/>
      <c r="F53" s="14"/>
      <c r="G53" s="14"/>
      <c r="H53" s="14"/>
    </row>
    <row r="54" spans="1:8" x14ac:dyDescent="0.7">
      <c r="A54" s="15">
        <v>38</v>
      </c>
      <c r="B54" s="25">
        <f>(C$52+(A54-A$52)*D$52)*E42</f>
        <v>263.54786237727723</v>
      </c>
      <c r="C54" s="14"/>
      <c r="D54" s="14"/>
      <c r="E54" s="24"/>
      <c r="F54" s="14"/>
      <c r="G54" s="14"/>
      <c r="H54" s="14"/>
    </row>
    <row r="55" spans="1:8" x14ac:dyDescent="0.7">
      <c r="A55" s="15">
        <v>39</v>
      </c>
      <c r="B55" s="25">
        <f t="shared" ref="B55:B64" si="6">(C$52+(A55-A$52)*D$52)*E43</f>
        <v>241.40502461916023</v>
      </c>
      <c r="C55" s="14"/>
      <c r="D55" s="14"/>
      <c r="E55" s="24"/>
      <c r="F55" s="14"/>
      <c r="G55" s="14"/>
      <c r="H55" s="14"/>
    </row>
    <row r="56" spans="1:8" x14ac:dyDescent="0.7">
      <c r="A56" s="15">
        <v>40</v>
      </c>
      <c r="B56" s="25">
        <f t="shared" si="6"/>
        <v>240.90310758658225</v>
      </c>
      <c r="C56" s="14"/>
      <c r="D56" s="14"/>
      <c r="E56" s="24"/>
      <c r="F56" s="14"/>
      <c r="G56" s="14"/>
      <c r="H56" s="14"/>
    </row>
    <row r="57" spans="1:8" x14ac:dyDescent="0.7">
      <c r="A57" s="15">
        <v>41</v>
      </c>
      <c r="B57" s="25">
        <f t="shared" si="6"/>
        <v>280.76917511210002</v>
      </c>
      <c r="C57" s="14"/>
      <c r="D57" s="14"/>
      <c r="E57" s="24"/>
      <c r="F57" s="14"/>
      <c r="G57" s="14"/>
      <c r="H57" s="14"/>
    </row>
    <row r="58" spans="1:8" x14ac:dyDescent="0.7">
      <c r="A58" s="15">
        <v>42</v>
      </c>
      <c r="B58" s="25">
        <f t="shared" si="6"/>
        <v>248.73422629811765</v>
      </c>
      <c r="C58" s="14"/>
      <c r="D58" s="14"/>
      <c r="E58" s="24"/>
      <c r="F58" s="14"/>
      <c r="G58" s="14"/>
      <c r="H58" s="14"/>
    </row>
    <row r="59" spans="1:8" x14ac:dyDescent="0.7">
      <c r="A59" s="15">
        <v>43</v>
      </c>
      <c r="B59" s="25">
        <f t="shared" si="6"/>
        <v>257.48742172623469</v>
      </c>
      <c r="C59" s="14"/>
      <c r="D59" s="14"/>
      <c r="E59" s="24"/>
      <c r="F59" s="14"/>
      <c r="G59" s="14"/>
      <c r="H59" s="14"/>
    </row>
    <row r="60" spans="1:8" x14ac:dyDescent="0.7">
      <c r="A60" s="15">
        <v>44</v>
      </c>
      <c r="B60" s="25">
        <f t="shared" si="6"/>
        <v>263.93781446421087</v>
      </c>
      <c r="C60" s="14"/>
      <c r="D60" s="14"/>
      <c r="E60" s="24"/>
      <c r="F60" s="14"/>
      <c r="G60" s="14"/>
      <c r="H60" s="14"/>
    </row>
    <row r="61" spans="1:8" x14ac:dyDescent="0.7">
      <c r="A61" s="15">
        <v>45</v>
      </c>
      <c r="B61" s="25">
        <f t="shared" si="6"/>
        <v>286.71669618185211</v>
      </c>
      <c r="C61" s="14"/>
      <c r="D61" s="14"/>
      <c r="E61" s="24"/>
      <c r="F61" s="14"/>
      <c r="G61" s="14"/>
      <c r="H61" s="14"/>
    </row>
    <row r="62" spans="1:8" x14ac:dyDescent="0.7">
      <c r="A62" s="15">
        <v>46</v>
      </c>
      <c r="B62" s="25">
        <f t="shared" si="6"/>
        <v>300.05480707417939</v>
      </c>
      <c r="C62" s="14"/>
      <c r="D62" s="14"/>
      <c r="E62" s="24"/>
      <c r="F62" s="14"/>
      <c r="G62" s="14"/>
      <c r="H62" s="14"/>
    </row>
    <row r="63" spans="1:8" x14ac:dyDescent="0.7">
      <c r="A63" s="15">
        <v>47</v>
      </c>
      <c r="B63" s="25">
        <f t="shared" si="6"/>
        <v>314.92616168763118</v>
      </c>
      <c r="C63" s="14"/>
      <c r="D63" s="14"/>
      <c r="E63" s="24"/>
      <c r="F63" s="14"/>
      <c r="G63" s="14"/>
      <c r="H63" s="14"/>
    </row>
    <row r="64" spans="1:8" x14ac:dyDescent="0.7">
      <c r="A64" s="15">
        <v>48</v>
      </c>
      <c r="B64" s="25">
        <f t="shared" si="6"/>
        <v>368.06784242399135</v>
      </c>
      <c r="C64" s="14"/>
      <c r="D64" s="14"/>
      <c r="E64" s="24"/>
      <c r="F64" s="14"/>
      <c r="G64" s="14"/>
      <c r="H64" s="14"/>
    </row>
  </sheetData>
  <phoneticPr fontId="4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42"/>
  <sheetViews>
    <sheetView topLeftCell="C1" workbookViewId="0">
      <pane ySplit="1" topLeftCell="A2" activePane="bottomLeft" state="frozen"/>
      <selection pane="bottomLeft" activeCell="F4" sqref="F4"/>
    </sheetView>
  </sheetViews>
  <sheetFormatPr defaultRowHeight="19.149999999999999" x14ac:dyDescent="0.7"/>
  <cols>
    <col min="2" max="2" width="14.33203125" bestFit="1" customWidth="1"/>
    <col min="3" max="3" width="20.5546875" bestFit="1" customWidth="1"/>
  </cols>
  <sheetData>
    <row r="1" spans="1:15" x14ac:dyDescent="0.7">
      <c r="A1" t="s">
        <v>1</v>
      </c>
      <c r="B1" t="s">
        <v>15</v>
      </c>
      <c r="C1" t="s">
        <v>16</v>
      </c>
      <c r="D1">
        <v>1</v>
      </c>
      <c r="E1">
        <v>2</v>
      </c>
      <c r="F1">
        <v>3</v>
      </c>
      <c r="G1">
        <v>4</v>
      </c>
      <c r="H1">
        <v>5</v>
      </c>
      <c r="I1">
        <v>6</v>
      </c>
      <c r="J1">
        <v>7</v>
      </c>
      <c r="K1">
        <v>8</v>
      </c>
      <c r="L1">
        <v>9</v>
      </c>
      <c r="M1">
        <v>10</v>
      </c>
      <c r="N1">
        <v>11</v>
      </c>
      <c r="O1">
        <v>12</v>
      </c>
    </row>
    <row r="2" spans="1:15" x14ac:dyDescent="0.7">
      <c r="A2">
        <v>1</v>
      </c>
      <c r="B2">
        <v>8.2830999999999904</v>
      </c>
      <c r="C2">
        <v>20.095830785484111</v>
      </c>
    </row>
    <row r="3" spans="1:15" x14ac:dyDescent="0.7">
      <c r="A3">
        <v>2</v>
      </c>
      <c r="B3">
        <v>7.6968211527522783</v>
      </c>
      <c r="C3">
        <v>8.30582805019597</v>
      </c>
      <c r="D3">
        <f>C2</f>
        <v>20.095830785484111</v>
      </c>
      <c r="E3">
        <f t="shared" ref="E3:O3" si="0">D2</f>
        <v>0</v>
      </c>
      <c r="F3">
        <f t="shared" si="0"/>
        <v>0</v>
      </c>
      <c r="G3">
        <f t="shared" si="0"/>
        <v>0</v>
      </c>
      <c r="H3">
        <f t="shared" si="0"/>
        <v>0</v>
      </c>
      <c r="I3">
        <f t="shared" si="0"/>
        <v>0</v>
      </c>
      <c r="J3">
        <f t="shared" si="0"/>
        <v>0</v>
      </c>
      <c r="K3">
        <f t="shared" si="0"/>
        <v>0</v>
      </c>
      <c r="L3">
        <f t="shared" si="0"/>
        <v>0</v>
      </c>
      <c r="M3">
        <f t="shared" si="0"/>
        <v>0</v>
      </c>
      <c r="N3">
        <f t="shared" si="0"/>
        <v>0</v>
      </c>
      <c r="O3">
        <f t="shared" si="0"/>
        <v>0</v>
      </c>
    </row>
    <row r="4" spans="1:15" x14ac:dyDescent="0.7">
      <c r="A4">
        <v>3</v>
      </c>
      <c r="B4">
        <v>-22.772503472233609</v>
      </c>
      <c r="C4">
        <v>-5.2318925609021676</v>
      </c>
      <c r="D4">
        <f t="shared" ref="D4:O37" si="1">C3</f>
        <v>8.30582805019597</v>
      </c>
      <c r="E4">
        <f t="shared" si="1"/>
        <v>20.095830785484111</v>
      </c>
      <c r="F4">
        <f t="shared" si="1"/>
        <v>0</v>
      </c>
      <c r="G4">
        <f t="shared" si="1"/>
        <v>0</v>
      </c>
      <c r="H4">
        <f t="shared" si="1"/>
        <v>0</v>
      </c>
      <c r="I4">
        <f t="shared" si="1"/>
        <v>0</v>
      </c>
      <c r="J4">
        <f t="shared" si="1"/>
        <v>0</v>
      </c>
      <c r="K4">
        <f t="shared" si="1"/>
        <v>0</v>
      </c>
      <c r="L4">
        <f t="shared" si="1"/>
        <v>0</v>
      </c>
      <c r="M4">
        <f t="shared" si="1"/>
        <v>0</v>
      </c>
      <c r="N4">
        <f t="shared" si="1"/>
        <v>0</v>
      </c>
      <c r="O4">
        <f t="shared" si="1"/>
        <v>0</v>
      </c>
    </row>
    <row r="5" spans="1:15" x14ac:dyDescent="0.7">
      <c r="A5">
        <v>4</v>
      </c>
      <c r="B5">
        <v>-12.362240942977706</v>
      </c>
      <c r="C5">
        <v>-7.815921563493248</v>
      </c>
      <c r="D5">
        <f t="shared" si="1"/>
        <v>-5.2318925609021676</v>
      </c>
      <c r="E5">
        <f t="shared" si="1"/>
        <v>8.30582805019597</v>
      </c>
      <c r="F5">
        <f t="shared" si="1"/>
        <v>20.095830785484111</v>
      </c>
      <c r="G5">
        <f t="shared" si="1"/>
        <v>0</v>
      </c>
      <c r="H5">
        <f t="shared" si="1"/>
        <v>0</v>
      </c>
      <c r="I5">
        <f t="shared" si="1"/>
        <v>0</v>
      </c>
      <c r="J5">
        <f t="shared" si="1"/>
        <v>0</v>
      </c>
      <c r="K5">
        <f t="shared" si="1"/>
        <v>0</v>
      </c>
      <c r="L5">
        <f t="shared" si="1"/>
        <v>0</v>
      </c>
      <c r="M5">
        <f t="shared" si="1"/>
        <v>0</v>
      </c>
      <c r="N5">
        <f t="shared" si="1"/>
        <v>0</v>
      </c>
      <c r="O5">
        <f t="shared" si="1"/>
        <v>0</v>
      </c>
    </row>
    <row r="6" spans="1:15" x14ac:dyDescent="0.7">
      <c r="A6">
        <v>5</v>
      </c>
      <c r="B6">
        <v>16.61941379264232</v>
      </c>
      <c r="C6">
        <v>-8.9661377793420627</v>
      </c>
      <c r="D6">
        <f t="shared" si="1"/>
        <v>-7.815921563493248</v>
      </c>
      <c r="E6">
        <f t="shared" si="1"/>
        <v>-5.2318925609021676</v>
      </c>
      <c r="F6">
        <f t="shared" si="1"/>
        <v>8.30582805019597</v>
      </c>
      <c r="G6">
        <f t="shared" si="1"/>
        <v>20.095830785484111</v>
      </c>
      <c r="H6">
        <f t="shared" si="1"/>
        <v>0</v>
      </c>
      <c r="I6">
        <f t="shared" si="1"/>
        <v>0</v>
      </c>
      <c r="J6">
        <f t="shared" si="1"/>
        <v>0</v>
      </c>
      <c r="K6">
        <f t="shared" si="1"/>
        <v>0</v>
      </c>
      <c r="L6">
        <f t="shared" si="1"/>
        <v>0</v>
      </c>
      <c r="M6">
        <f t="shared" si="1"/>
        <v>0</v>
      </c>
      <c r="N6">
        <f t="shared" si="1"/>
        <v>0</v>
      </c>
      <c r="O6">
        <f t="shared" si="1"/>
        <v>0</v>
      </c>
    </row>
    <row r="7" spans="1:15" x14ac:dyDescent="0.7">
      <c r="A7">
        <v>6</v>
      </c>
      <c r="B7">
        <v>0.91742146176443384</v>
      </c>
      <c r="C7">
        <v>9.718647654165494</v>
      </c>
      <c r="D7">
        <f t="shared" si="1"/>
        <v>-8.9661377793420627</v>
      </c>
      <c r="E7">
        <f t="shared" si="1"/>
        <v>-7.815921563493248</v>
      </c>
      <c r="F7">
        <f t="shared" si="1"/>
        <v>-5.2318925609021676</v>
      </c>
      <c r="G7">
        <f t="shared" si="1"/>
        <v>8.30582805019597</v>
      </c>
      <c r="H7">
        <f t="shared" si="1"/>
        <v>20.095830785484111</v>
      </c>
      <c r="I7">
        <f t="shared" si="1"/>
        <v>0</v>
      </c>
      <c r="J7">
        <f t="shared" si="1"/>
        <v>0</v>
      </c>
      <c r="K7">
        <f t="shared" si="1"/>
        <v>0</v>
      </c>
      <c r="L7">
        <f t="shared" si="1"/>
        <v>0</v>
      </c>
      <c r="M7">
        <f t="shared" si="1"/>
        <v>0</v>
      </c>
      <c r="N7">
        <f t="shared" si="1"/>
        <v>0</v>
      </c>
      <c r="O7">
        <f t="shared" si="1"/>
        <v>0</v>
      </c>
    </row>
    <row r="8" spans="1:15" x14ac:dyDescent="0.7">
      <c r="A8">
        <v>7</v>
      </c>
      <c r="B8">
        <v>-8.4675060188048974</v>
      </c>
      <c r="C8">
        <v>-6.7908071916551478</v>
      </c>
      <c r="D8">
        <f t="shared" si="1"/>
        <v>9.718647654165494</v>
      </c>
      <c r="E8">
        <f t="shared" si="1"/>
        <v>-8.9661377793420627</v>
      </c>
      <c r="F8">
        <f t="shared" si="1"/>
        <v>-7.815921563493248</v>
      </c>
      <c r="G8">
        <f t="shared" si="1"/>
        <v>-5.2318925609021676</v>
      </c>
      <c r="H8">
        <f t="shared" si="1"/>
        <v>8.30582805019597</v>
      </c>
      <c r="I8">
        <f t="shared" si="1"/>
        <v>20.095830785484111</v>
      </c>
      <c r="J8">
        <f t="shared" si="1"/>
        <v>0</v>
      </c>
      <c r="K8">
        <f t="shared" si="1"/>
        <v>0</v>
      </c>
      <c r="L8">
        <f t="shared" si="1"/>
        <v>0</v>
      </c>
      <c r="M8">
        <f t="shared" si="1"/>
        <v>0</v>
      </c>
      <c r="N8">
        <f t="shared" si="1"/>
        <v>0</v>
      </c>
      <c r="O8">
        <f t="shared" si="1"/>
        <v>0</v>
      </c>
    </row>
    <row r="9" spans="1:15" x14ac:dyDescent="0.7">
      <c r="A9">
        <v>8</v>
      </c>
      <c r="B9">
        <v>-5.3703841749830303</v>
      </c>
      <c r="C9">
        <v>-10.316138740343803</v>
      </c>
      <c r="D9">
        <f t="shared" si="1"/>
        <v>-6.7908071916551478</v>
      </c>
      <c r="E9">
        <f t="shared" si="1"/>
        <v>9.718647654165494</v>
      </c>
      <c r="F9">
        <f t="shared" si="1"/>
        <v>-8.9661377793420627</v>
      </c>
      <c r="G9">
        <f t="shared" si="1"/>
        <v>-7.815921563493248</v>
      </c>
      <c r="H9">
        <f t="shared" si="1"/>
        <v>-5.2318925609021676</v>
      </c>
      <c r="I9">
        <f t="shared" si="1"/>
        <v>8.30582805019597</v>
      </c>
      <c r="J9">
        <f t="shared" si="1"/>
        <v>20.095830785484111</v>
      </c>
      <c r="K9">
        <f t="shared" si="1"/>
        <v>0</v>
      </c>
      <c r="L9">
        <f t="shared" si="1"/>
        <v>0</v>
      </c>
      <c r="M9">
        <f t="shared" si="1"/>
        <v>0</v>
      </c>
      <c r="N9">
        <f t="shared" si="1"/>
        <v>0</v>
      </c>
      <c r="O9">
        <f t="shared" si="1"/>
        <v>0</v>
      </c>
    </row>
    <row r="10" spans="1:15" x14ac:dyDescent="0.7">
      <c r="A10">
        <v>9</v>
      </c>
      <c r="B10">
        <v>6.8734393039354416</v>
      </c>
      <c r="C10">
        <v>-10.667838438396302</v>
      </c>
      <c r="D10">
        <f t="shared" si="1"/>
        <v>-10.316138740343803</v>
      </c>
      <c r="E10">
        <f t="shared" si="1"/>
        <v>-6.7908071916551478</v>
      </c>
      <c r="F10">
        <f t="shared" si="1"/>
        <v>9.718647654165494</v>
      </c>
      <c r="G10">
        <f t="shared" si="1"/>
        <v>-8.9661377793420627</v>
      </c>
      <c r="H10">
        <f t="shared" si="1"/>
        <v>-7.815921563493248</v>
      </c>
      <c r="I10">
        <f t="shared" si="1"/>
        <v>-5.2318925609021676</v>
      </c>
      <c r="J10">
        <f t="shared" si="1"/>
        <v>8.30582805019597</v>
      </c>
      <c r="K10">
        <f t="shared" si="1"/>
        <v>20.095830785484111</v>
      </c>
      <c r="L10">
        <f t="shared" si="1"/>
        <v>0</v>
      </c>
      <c r="M10">
        <f t="shared" si="1"/>
        <v>0</v>
      </c>
      <c r="N10">
        <f t="shared" si="1"/>
        <v>0</v>
      </c>
      <c r="O10">
        <f t="shared" si="1"/>
        <v>0</v>
      </c>
    </row>
    <row r="11" spans="1:15" x14ac:dyDescent="0.7">
      <c r="A11">
        <v>10</v>
      </c>
      <c r="B11">
        <v>11.80672261149104</v>
      </c>
      <c r="C11">
        <v>-3.3687557664596284</v>
      </c>
      <c r="D11">
        <f t="shared" si="1"/>
        <v>-10.667838438396302</v>
      </c>
      <c r="E11">
        <f t="shared" si="1"/>
        <v>-10.316138740343803</v>
      </c>
      <c r="F11">
        <f t="shared" si="1"/>
        <v>-6.7908071916551478</v>
      </c>
      <c r="G11">
        <f t="shared" si="1"/>
        <v>9.718647654165494</v>
      </c>
      <c r="H11">
        <f t="shared" si="1"/>
        <v>-8.9661377793420627</v>
      </c>
      <c r="I11">
        <f t="shared" si="1"/>
        <v>-7.815921563493248</v>
      </c>
      <c r="J11">
        <f t="shared" si="1"/>
        <v>-5.2318925609021676</v>
      </c>
      <c r="K11">
        <f t="shared" si="1"/>
        <v>8.30582805019597</v>
      </c>
      <c r="L11">
        <f t="shared" si="1"/>
        <v>20.095830785484111</v>
      </c>
      <c r="M11">
        <f t="shared" si="1"/>
        <v>0</v>
      </c>
      <c r="N11">
        <f t="shared" si="1"/>
        <v>0</v>
      </c>
      <c r="O11">
        <f t="shared" si="1"/>
        <v>0</v>
      </c>
    </row>
    <row r="12" spans="1:15" x14ac:dyDescent="0.7">
      <c r="A12">
        <v>11</v>
      </c>
      <c r="B12">
        <v>7.0751308890001496</v>
      </c>
      <c r="C12">
        <v>-4.8149926602148412</v>
      </c>
      <c r="D12">
        <f t="shared" si="1"/>
        <v>-3.3687557664596284</v>
      </c>
      <c r="E12">
        <f t="shared" si="1"/>
        <v>-10.667838438396302</v>
      </c>
      <c r="F12">
        <f t="shared" si="1"/>
        <v>-10.316138740343803</v>
      </c>
      <c r="G12">
        <f t="shared" si="1"/>
        <v>-6.7908071916551478</v>
      </c>
      <c r="H12">
        <f t="shared" si="1"/>
        <v>9.718647654165494</v>
      </c>
      <c r="I12">
        <f t="shared" si="1"/>
        <v>-8.9661377793420627</v>
      </c>
      <c r="J12">
        <f t="shared" si="1"/>
        <v>-7.815921563493248</v>
      </c>
      <c r="K12">
        <f t="shared" si="1"/>
        <v>-5.2318925609021676</v>
      </c>
      <c r="L12">
        <f t="shared" si="1"/>
        <v>8.30582805019597</v>
      </c>
      <c r="M12">
        <f t="shared" si="1"/>
        <v>20.095830785484111</v>
      </c>
      <c r="N12">
        <f t="shared" si="1"/>
        <v>0</v>
      </c>
      <c r="O12">
        <f t="shared" si="1"/>
        <v>0</v>
      </c>
    </row>
    <row r="13" spans="1:15" x14ac:dyDescent="0.7">
      <c r="A13">
        <v>12</v>
      </c>
      <c r="B13">
        <v>31.214434250659792</v>
      </c>
      <c r="C13">
        <v>-0.46192601539917177</v>
      </c>
      <c r="D13">
        <f t="shared" si="1"/>
        <v>-4.8149926602148412</v>
      </c>
      <c r="E13">
        <f t="shared" si="1"/>
        <v>-3.3687557664596284</v>
      </c>
      <c r="F13">
        <f t="shared" si="1"/>
        <v>-10.667838438396302</v>
      </c>
      <c r="G13">
        <f t="shared" si="1"/>
        <v>-10.316138740343803</v>
      </c>
      <c r="H13">
        <f t="shared" si="1"/>
        <v>-6.7908071916551478</v>
      </c>
      <c r="I13">
        <f t="shared" si="1"/>
        <v>9.718647654165494</v>
      </c>
      <c r="J13">
        <f t="shared" si="1"/>
        <v>-8.9661377793420627</v>
      </c>
      <c r="K13">
        <f t="shared" si="1"/>
        <v>-7.815921563493248</v>
      </c>
      <c r="L13">
        <f t="shared" si="1"/>
        <v>-5.2318925609021676</v>
      </c>
      <c r="M13">
        <f t="shared" si="1"/>
        <v>8.30582805019597</v>
      </c>
      <c r="N13">
        <f t="shared" si="1"/>
        <v>20.095830785484111</v>
      </c>
      <c r="O13">
        <f t="shared" si="1"/>
        <v>0</v>
      </c>
    </row>
    <row r="14" spans="1:15" x14ac:dyDescent="0.7">
      <c r="A14">
        <v>13</v>
      </c>
      <c r="B14">
        <v>-25.649280562545044</v>
      </c>
      <c r="C14">
        <v>1.4155900786853977</v>
      </c>
      <c r="D14">
        <f t="shared" si="1"/>
        <v>-0.46192601539917177</v>
      </c>
      <c r="E14">
        <f t="shared" si="1"/>
        <v>-4.8149926602148412</v>
      </c>
      <c r="F14">
        <f t="shared" si="1"/>
        <v>-3.3687557664596284</v>
      </c>
      <c r="G14">
        <f t="shared" si="1"/>
        <v>-10.667838438396302</v>
      </c>
      <c r="H14">
        <f t="shared" si="1"/>
        <v>-10.316138740343803</v>
      </c>
      <c r="I14">
        <f t="shared" si="1"/>
        <v>-6.7908071916551478</v>
      </c>
      <c r="J14">
        <f t="shared" si="1"/>
        <v>9.718647654165494</v>
      </c>
      <c r="K14">
        <f t="shared" si="1"/>
        <v>-8.9661377793420627</v>
      </c>
      <c r="L14">
        <f t="shared" si="1"/>
        <v>-7.815921563493248</v>
      </c>
      <c r="M14">
        <f t="shared" si="1"/>
        <v>-5.2318925609021676</v>
      </c>
      <c r="N14">
        <f t="shared" si="1"/>
        <v>8.30582805019597</v>
      </c>
      <c r="O14">
        <f t="shared" si="1"/>
        <v>20.095830785484111</v>
      </c>
    </row>
    <row r="15" spans="1:15" x14ac:dyDescent="0.7">
      <c r="A15">
        <v>14</v>
      </c>
      <c r="B15">
        <v>-13.136150652246158</v>
      </c>
      <c r="C15">
        <v>-11.571668271598924</v>
      </c>
      <c r="D15">
        <f t="shared" si="1"/>
        <v>1.4155900786853977</v>
      </c>
      <c r="E15">
        <f t="shared" si="1"/>
        <v>-0.46192601539917177</v>
      </c>
      <c r="F15">
        <f t="shared" si="1"/>
        <v>-4.8149926602148412</v>
      </c>
      <c r="G15">
        <f t="shared" si="1"/>
        <v>-3.3687557664596284</v>
      </c>
      <c r="H15">
        <f t="shared" si="1"/>
        <v>-10.667838438396302</v>
      </c>
      <c r="I15">
        <f t="shared" si="1"/>
        <v>-10.316138740343803</v>
      </c>
      <c r="J15">
        <f t="shared" si="1"/>
        <v>-6.7908071916551478</v>
      </c>
      <c r="K15">
        <f t="shared" si="1"/>
        <v>9.718647654165494</v>
      </c>
      <c r="L15">
        <f t="shared" si="1"/>
        <v>-8.9661377793420627</v>
      </c>
      <c r="M15">
        <f t="shared" si="1"/>
        <v>-7.815921563493248</v>
      </c>
      <c r="N15">
        <f t="shared" si="1"/>
        <v>-5.2318925609021676</v>
      </c>
      <c r="O15">
        <f t="shared" si="1"/>
        <v>8.30582805019597</v>
      </c>
    </row>
    <row r="16" spans="1:15" x14ac:dyDescent="0.7">
      <c r="A16">
        <v>15</v>
      </c>
      <c r="B16">
        <v>-9.4105342309278797</v>
      </c>
      <c r="C16">
        <v>5.7917709603289325</v>
      </c>
      <c r="D16">
        <f t="shared" si="1"/>
        <v>-11.571668271598924</v>
      </c>
      <c r="E16">
        <f t="shared" si="1"/>
        <v>1.4155900786853977</v>
      </c>
      <c r="F16">
        <f t="shared" si="1"/>
        <v>-0.46192601539917177</v>
      </c>
      <c r="G16">
        <f t="shared" si="1"/>
        <v>-4.8149926602148412</v>
      </c>
      <c r="H16">
        <f t="shared" si="1"/>
        <v>-3.3687557664596284</v>
      </c>
      <c r="I16">
        <f t="shared" si="1"/>
        <v>-10.667838438396302</v>
      </c>
      <c r="J16">
        <f t="shared" si="1"/>
        <v>-10.316138740343803</v>
      </c>
      <c r="K16">
        <f t="shared" si="1"/>
        <v>-6.7908071916551478</v>
      </c>
      <c r="L16">
        <f t="shared" si="1"/>
        <v>9.718647654165494</v>
      </c>
      <c r="M16">
        <f t="shared" si="1"/>
        <v>-8.9661377793420627</v>
      </c>
      <c r="N16">
        <f t="shared" si="1"/>
        <v>-7.815921563493248</v>
      </c>
      <c r="O16">
        <f t="shared" si="1"/>
        <v>-5.2318925609021676</v>
      </c>
    </row>
    <row r="17" spans="1:15" x14ac:dyDescent="0.7">
      <c r="A17">
        <v>16</v>
      </c>
      <c r="B17">
        <v>-18.811013160903883</v>
      </c>
      <c r="C17">
        <v>-7.9679850482329186</v>
      </c>
      <c r="D17">
        <f t="shared" si="1"/>
        <v>5.7917709603289325</v>
      </c>
      <c r="E17">
        <f t="shared" si="1"/>
        <v>-11.571668271598924</v>
      </c>
      <c r="F17">
        <f t="shared" si="1"/>
        <v>1.4155900786853977</v>
      </c>
      <c r="G17">
        <f t="shared" si="1"/>
        <v>-0.46192601539917177</v>
      </c>
      <c r="H17">
        <f t="shared" si="1"/>
        <v>-4.8149926602148412</v>
      </c>
      <c r="I17">
        <f t="shared" si="1"/>
        <v>-3.3687557664596284</v>
      </c>
      <c r="J17">
        <f t="shared" si="1"/>
        <v>-10.667838438396302</v>
      </c>
      <c r="K17">
        <f t="shared" si="1"/>
        <v>-10.316138740343803</v>
      </c>
      <c r="L17">
        <f t="shared" si="1"/>
        <v>-6.7908071916551478</v>
      </c>
      <c r="M17">
        <f t="shared" si="1"/>
        <v>9.718647654165494</v>
      </c>
      <c r="N17">
        <f t="shared" si="1"/>
        <v>-8.9661377793420627</v>
      </c>
      <c r="O17">
        <f t="shared" si="1"/>
        <v>-7.815921563493248</v>
      </c>
    </row>
    <row r="18" spans="1:15" x14ac:dyDescent="0.7">
      <c r="A18">
        <v>17</v>
      </c>
      <c r="B18">
        <v>34.642928628774968</v>
      </c>
      <c r="C18">
        <v>13.841156008806706</v>
      </c>
      <c r="D18">
        <f t="shared" si="1"/>
        <v>-7.9679850482329186</v>
      </c>
      <c r="E18">
        <f t="shared" si="1"/>
        <v>5.7917709603289325</v>
      </c>
      <c r="F18">
        <f t="shared" si="1"/>
        <v>-11.571668271598924</v>
      </c>
      <c r="G18">
        <f t="shared" si="1"/>
        <v>1.4155900786853977</v>
      </c>
      <c r="H18">
        <f t="shared" si="1"/>
        <v>-0.46192601539917177</v>
      </c>
      <c r="I18">
        <f t="shared" si="1"/>
        <v>-4.8149926602148412</v>
      </c>
      <c r="J18">
        <f t="shared" si="1"/>
        <v>-3.3687557664596284</v>
      </c>
      <c r="K18">
        <f t="shared" si="1"/>
        <v>-10.667838438396302</v>
      </c>
      <c r="L18">
        <f t="shared" si="1"/>
        <v>-10.316138740343803</v>
      </c>
      <c r="M18">
        <f t="shared" si="1"/>
        <v>-6.7908071916551478</v>
      </c>
      <c r="N18">
        <f t="shared" si="1"/>
        <v>9.718647654165494</v>
      </c>
      <c r="O18">
        <f t="shared" si="1"/>
        <v>-8.9661377793420627</v>
      </c>
    </row>
    <row r="19" spans="1:15" x14ac:dyDescent="0.7">
      <c r="A19">
        <v>18</v>
      </c>
      <c r="B19">
        <v>-16.347456348276381</v>
      </c>
      <c r="C19">
        <v>5.23831955483314</v>
      </c>
      <c r="D19">
        <f t="shared" si="1"/>
        <v>13.841156008806706</v>
      </c>
      <c r="E19">
        <f t="shared" si="1"/>
        <v>-7.9679850482329186</v>
      </c>
      <c r="F19">
        <f t="shared" si="1"/>
        <v>5.7917709603289325</v>
      </c>
      <c r="G19">
        <f t="shared" si="1"/>
        <v>-11.571668271598924</v>
      </c>
      <c r="H19">
        <f t="shared" si="1"/>
        <v>1.4155900786853977</v>
      </c>
      <c r="I19">
        <f t="shared" si="1"/>
        <v>-0.46192601539917177</v>
      </c>
      <c r="J19">
        <f t="shared" si="1"/>
        <v>-4.8149926602148412</v>
      </c>
      <c r="K19">
        <f t="shared" si="1"/>
        <v>-3.3687557664596284</v>
      </c>
      <c r="L19">
        <f t="shared" si="1"/>
        <v>-10.667838438396302</v>
      </c>
      <c r="M19">
        <f t="shared" si="1"/>
        <v>-10.316138740343803</v>
      </c>
      <c r="N19">
        <f t="shared" si="1"/>
        <v>-6.7908071916551478</v>
      </c>
      <c r="O19">
        <f t="shared" si="1"/>
        <v>9.718647654165494</v>
      </c>
    </row>
    <row r="20" spans="1:15" x14ac:dyDescent="0.7">
      <c r="A20">
        <v>19</v>
      </c>
      <c r="B20">
        <v>-5.1577609688828829</v>
      </c>
      <c r="C20">
        <v>1.0334453166311732</v>
      </c>
      <c r="D20">
        <f t="shared" si="1"/>
        <v>5.23831955483314</v>
      </c>
      <c r="E20">
        <f t="shared" si="1"/>
        <v>13.841156008806706</v>
      </c>
      <c r="F20">
        <f t="shared" si="1"/>
        <v>-7.9679850482329186</v>
      </c>
      <c r="G20">
        <f t="shared" si="1"/>
        <v>5.7917709603289325</v>
      </c>
      <c r="H20">
        <f t="shared" si="1"/>
        <v>-11.571668271598924</v>
      </c>
      <c r="I20">
        <f t="shared" si="1"/>
        <v>1.4155900786853977</v>
      </c>
      <c r="J20">
        <f t="shared" si="1"/>
        <v>-0.46192601539917177</v>
      </c>
      <c r="K20">
        <f t="shared" si="1"/>
        <v>-4.8149926602148412</v>
      </c>
      <c r="L20">
        <f t="shared" si="1"/>
        <v>-3.3687557664596284</v>
      </c>
      <c r="M20">
        <f t="shared" si="1"/>
        <v>-10.667838438396302</v>
      </c>
      <c r="N20">
        <f t="shared" si="1"/>
        <v>-10.316138740343803</v>
      </c>
      <c r="O20">
        <f t="shared" si="1"/>
        <v>-6.7908071916551478</v>
      </c>
    </row>
    <row r="21" spans="1:15" x14ac:dyDescent="0.7">
      <c r="A21">
        <v>20</v>
      </c>
      <c r="B21">
        <v>4.837376879760626</v>
      </c>
      <c r="C21">
        <v>5.5268316244413143</v>
      </c>
      <c r="D21">
        <f t="shared" si="1"/>
        <v>1.0334453166311732</v>
      </c>
      <c r="E21">
        <f t="shared" si="1"/>
        <v>5.23831955483314</v>
      </c>
      <c r="F21">
        <f t="shared" si="1"/>
        <v>13.841156008806706</v>
      </c>
      <c r="G21">
        <f t="shared" si="1"/>
        <v>-7.9679850482329186</v>
      </c>
      <c r="H21">
        <f t="shared" si="1"/>
        <v>5.7917709603289325</v>
      </c>
      <c r="I21">
        <f t="shared" si="1"/>
        <v>-11.571668271598924</v>
      </c>
      <c r="J21">
        <f t="shared" si="1"/>
        <v>1.4155900786853977</v>
      </c>
      <c r="K21">
        <f t="shared" si="1"/>
        <v>-0.46192601539917177</v>
      </c>
      <c r="L21">
        <f t="shared" si="1"/>
        <v>-4.8149926602148412</v>
      </c>
      <c r="M21">
        <f t="shared" si="1"/>
        <v>-3.3687557664596284</v>
      </c>
      <c r="N21">
        <f t="shared" si="1"/>
        <v>-10.667838438396302</v>
      </c>
      <c r="O21">
        <f t="shared" si="1"/>
        <v>-10.316138740343803</v>
      </c>
    </row>
    <row r="22" spans="1:15" x14ac:dyDescent="0.7">
      <c r="A22">
        <v>21</v>
      </c>
      <c r="B22">
        <v>17.07536489629851</v>
      </c>
      <c r="C22">
        <v>7.1307854368571952</v>
      </c>
      <c r="D22">
        <f t="shared" si="1"/>
        <v>5.5268316244413143</v>
      </c>
      <c r="E22">
        <f t="shared" si="1"/>
        <v>1.0334453166311732</v>
      </c>
      <c r="F22">
        <f t="shared" si="1"/>
        <v>5.23831955483314</v>
      </c>
      <c r="G22">
        <f t="shared" si="1"/>
        <v>13.841156008806706</v>
      </c>
      <c r="H22">
        <f t="shared" si="1"/>
        <v>-7.9679850482329186</v>
      </c>
      <c r="I22">
        <f t="shared" si="1"/>
        <v>5.7917709603289325</v>
      </c>
      <c r="J22">
        <f t="shared" si="1"/>
        <v>-11.571668271598924</v>
      </c>
      <c r="K22">
        <f t="shared" si="1"/>
        <v>1.4155900786853977</v>
      </c>
      <c r="L22">
        <f t="shared" si="1"/>
        <v>-0.46192601539917177</v>
      </c>
      <c r="M22">
        <f t="shared" si="1"/>
        <v>-4.8149926602148412</v>
      </c>
      <c r="N22">
        <f t="shared" si="1"/>
        <v>-3.3687557664596284</v>
      </c>
      <c r="O22">
        <f t="shared" si="1"/>
        <v>-10.667838438396302</v>
      </c>
    </row>
    <row r="23" spans="1:15" x14ac:dyDescent="0.7">
      <c r="A23">
        <v>22</v>
      </c>
      <c r="B23">
        <v>7.6494941650880151</v>
      </c>
      <c r="C23">
        <v>0.66005626560607311</v>
      </c>
      <c r="D23">
        <f t="shared" si="1"/>
        <v>7.1307854368571952</v>
      </c>
      <c r="E23">
        <f t="shared" si="1"/>
        <v>5.5268316244413143</v>
      </c>
      <c r="F23">
        <f t="shared" si="1"/>
        <v>1.0334453166311732</v>
      </c>
      <c r="G23">
        <f t="shared" si="1"/>
        <v>5.23831955483314</v>
      </c>
      <c r="H23">
        <f t="shared" si="1"/>
        <v>13.841156008806706</v>
      </c>
      <c r="I23">
        <f t="shared" si="1"/>
        <v>-7.9679850482329186</v>
      </c>
      <c r="J23">
        <f t="shared" si="1"/>
        <v>5.7917709603289325</v>
      </c>
      <c r="K23">
        <f t="shared" si="1"/>
        <v>-11.571668271598924</v>
      </c>
      <c r="L23">
        <f t="shared" si="1"/>
        <v>1.4155900786853977</v>
      </c>
      <c r="M23">
        <f t="shared" si="1"/>
        <v>-0.46192601539917177</v>
      </c>
      <c r="N23">
        <f t="shared" si="1"/>
        <v>-4.8149926602148412</v>
      </c>
      <c r="O23">
        <f t="shared" si="1"/>
        <v>-3.3687557664596284</v>
      </c>
    </row>
    <row r="24" spans="1:15" x14ac:dyDescent="0.7">
      <c r="A24">
        <v>23</v>
      </c>
      <c r="B24">
        <v>13.168409680662648</v>
      </c>
      <c r="C24">
        <v>4.2292423764431533</v>
      </c>
      <c r="D24">
        <f t="shared" si="1"/>
        <v>0.66005626560607311</v>
      </c>
      <c r="E24">
        <f t="shared" si="1"/>
        <v>7.1307854368571952</v>
      </c>
      <c r="F24">
        <f t="shared" si="1"/>
        <v>5.5268316244413143</v>
      </c>
      <c r="G24">
        <f t="shared" si="1"/>
        <v>1.0334453166311732</v>
      </c>
      <c r="H24">
        <f t="shared" si="1"/>
        <v>5.23831955483314</v>
      </c>
      <c r="I24">
        <f t="shared" si="1"/>
        <v>13.841156008806706</v>
      </c>
      <c r="J24">
        <f t="shared" si="1"/>
        <v>-7.9679850482329186</v>
      </c>
      <c r="K24">
        <f t="shared" si="1"/>
        <v>5.7917709603289325</v>
      </c>
      <c r="L24">
        <f t="shared" si="1"/>
        <v>-11.571668271598924</v>
      </c>
      <c r="M24">
        <f t="shared" si="1"/>
        <v>1.4155900786853977</v>
      </c>
      <c r="N24">
        <f t="shared" si="1"/>
        <v>-0.46192601539917177</v>
      </c>
      <c r="O24">
        <f t="shared" si="1"/>
        <v>-4.8149926602148412</v>
      </c>
    </row>
    <row r="25" spans="1:15" x14ac:dyDescent="0.7">
      <c r="A25">
        <v>24</v>
      </c>
      <c r="B25">
        <v>31.588787931155565</v>
      </c>
      <c r="C25">
        <v>-0.43595601928598171</v>
      </c>
      <c r="D25">
        <f t="shared" si="1"/>
        <v>4.2292423764431533</v>
      </c>
      <c r="E25">
        <f t="shared" si="1"/>
        <v>0.66005626560607311</v>
      </c>
      <c r="F25">
        <f t="shared" si="1"/>
        <v>7.1307854368571952</v>
      </c>
      <c r="G25">
        <f t="shared" ref="E25:O38" si="2">F24</f>
        <v>5.5268316244413143</v>
      </c>
      <c r="H25">
        <f t="shared" si="2"/>
        <v>1.0334453166311732</v>
      </c>
      <c r="I25">
        <f t="shared" si="2"/>
        <v>5.23831955483314</v>
      </c>
      <c r="J25">
        <f t="shared" si="2"/>
        <v>13.841156008806706</v>
      </c>
      <c r="K25">
        <f t="shared" si="2"/>
        <v>-7.9679850482329186</v>
      </c>
      <c r="L25">
        <f t="shared" si="2"/>
        <v>5.7917709603289325</v>
      </c>
      <c r="M25">
        <f t="shared" si="2"/>
        <v>-11.571668271598924</v>
      </c>
      <c r="N25">
        <f t="shared" si="2"/>
        <v>1.4155900786853977</v>
      </c>
      <c r="O25">
        <f t="shared" si="2"/>
        <v>-0.46192601539917177</v>
      </c>
    </row>
    <row r="26" spans="1:15" x14ac:dyDescent="0.7">
      <c r="A26">
        <v>25</v>
      </c>
      <c r="B26">
        <v>-32.237614326728618</v>
      </c>
      <c r="C26">
        <v>-1.6794686492439155</v>
      </c>
      <c r="D26">
        <f t="shared" ref="D26:D59" si="3">C25</f>
        <v>-0.43595601928598171</v>
      </c>
      <c r="E26">
        <f t="shared" si="2"/>
        <v>4.2292423764431533</v>
      </c>
      <c r="F26">
        <f t="shared" si="2"/>
        <v>0.66005626560607311</v>
      </c>
      <c r="G26">
        <f t="shared" si="2"/>
        <v>7.1307854368571952</v>
      </c>
      <c r="H26">
        <f t="shared" si="2"/>
        <v>5.5268316244413143</v>
      </c>
      <c r="I26">
        <f t="shared" si="2"/>
        <v>1.0334453166311732</v>
      </c>
      <c r="J26">
        <f t="shared" si="2"/>
        <v>5.23831955483314</v>
      </c>
      <c r="K26">
        <f t="shared" si="2"/>
        <v>13.841156008806706</v>
      </c>
      <c r="L26">
        <f t="shared" si="2"/>
        <v>-7.9679850482329186</v>
      </c>
      <c r="M26">
        <f t="shared" si="2"/>
        <v>5.7917709603289325</v>
      </c>
      <c r="N26">
        <f t="shared" si="2"/>
        <v>-11.571668271598924</v>
      </c>
      <c r="O26">
        <f t="shared" si="2"/>
        <v>1.4155900786853977</v>
      </c>
    </row>
    <row r="27" spans="1:15" x14ac:dyDescent="0.7">
      <c r="A27">
        <v>26</v>
      </c>
      <c r="B27">
        <v>16.132590065756773</v>
      </c>
      <c r="C27">
        <v>15.504434577358808</v>
      </c>
      <c r="D27">
        <f t="shared" si="3"/>
        <v>-1.6794686492439155</v>
      </c>
      <c r="E27">
        <f t="shared" si="2"/>
        <v>-0.43595601928598171</v>
      </c>
      <c r="F27">
        <f t="shared" si="2"/>
        <v>4.2292423764431533</v>
      </c>
      <c r="G27">
        <f t="shared" si="2"/>
        <v>0.66005626560607311</v>
      </c>
      <c r="H27">
        <f t="shared" si="2"/>
        <v>7.1307854368571952</v>
      </c>
      <c r="I27">
        <f t="shared" si="2"/>
        <v>5.5268316244413143</v>
      </c>
      <c r="J27">
        <f t="shared" si="2"/>
        <v>1.0334453166311732</v>
      </c>
      <c r="K27">
        <f t="shared" si="2"/>
        <v>5.23831955483314</v>
      </c>
      <c r="L27">
        <f t="shared" si="2"/>
        <v>13.841156008806706</v>
      </c>
      <c r="M27">
        <f t="shared" si="2"/>
        <v>-7.9679850482329186</v>
      </c>
      <c r="N27">
        <f t="shared" si="2"/>
        <v>5.7917709603289325</v>
      </c>
      <c r="O27">
        <f t="shared" si="2"/>
        <v>-11.571668271598924</v>
      </c>
    </row>
    <row r="28" spans="1:15" x14ac:dyDescent="0.7">
      <c r="A28">
        <v>27</v>
      </c>
      <c r="B28">
        <v>-29.942802470154248</v>
      </c>
      <c r="C28">
        <v>-4.2194026560205771</v>
      </c>
      <c r="D28">
        <f t="shared" si="3"/>
        <v>15.504434577358808</v>
      </c>
      <c r="E28">
        <f t="shared" si="2"/>
        <v>-1.6794686492439155</v>
      </c>
      <c r="F28">
        <f t="shared" si="2"/>
        <v>-0.43595601928598171</v>
      </c>
      <c r="G28">
        <f t="shared" si="2"/>
        <v>4.2292423764431533</v>
      </c>
      <c r="H28">
        <f t="shared" si="2"/>
        <v>0.66005626560607311</v>
      </c>
      <c r="I28">
        <f t="shared" si="2"/>
        <v>7.1307854368571952</v>
      </c>
      <c r="J28">
        <f t="shared" si="2"/>
        <v>5.5268316244413143</v>
      </c>
      <c r="K28">
        <f t="shared" si="2"/>
        <v>1.0334453166311732</v>
      </c>
      <c r="L28">
        <f t="shared" si="2"/>
        <v>5.23831955483314</v>
      </c>
      <c r="M28">
        <f t="shared" si="2"/>
        <v>13.841156008806706</v>
      </c>
      <c r="N28">
        <f t="shared" si="2"/>
        <v>-7.9679850482329186</v>
      </c>
      <c r="O28">
        <f t="shared" si="2"/>
        <v>5.7917709603289325</v>
      </c>
    </row>
    <row r="29" spans="1:15" x14ac:dyDescent="0.7">
      <c r="A29">
        <v>28</v>
      </c>
      <c r="B29">
        <v>2.3983805909963394</v>
      </c>
      <c r="C29">
        <v>12.333306314040271</v>
      </c>
      <c r="D29">
        <f t="shared" si="3"/>
        <v>-4.2194026560205771</v>
      </c>
      <c r="E29">
        <f t="shared" si="2"/>
        <v>15.504434577358808</v>
      </c>
      <c r="F29">
        <f t="shared" si="2"/>
        <v>-1.6794686492439155</v>
      </c>
      <c r="G29">
        <f t="shared" si="2"/>
        <v>-0.43595601928598171</v>
      </c>
      <c r="H29">
        <f t="shared" si="2"/>
        <v>4.2292423764431533</v>
      </c>
      <c r="I29">
        <f t="shared" si="2"/>
        <v>0.66005626560607311</v>
      </c>
      <c r="J29">
        <f t="shared" si="2"/>
        <v>7.1307854368571952</v>
      </c>
      <c r="K29">
        <f t="shared" si="2"/>
        <v>5.5268316244413143</v>
      </c>
      <c r="L29">
        <f t="shared" si="2"/>
        <v>1.0334453166311732</v>
      </c>
      <c r="M29">
        <f t="shared" si="2"/>
        <v>5.23831955483314</v>
      </c>
      <c r="N29">
        <f t="shared" si="2"/>
        <v>13.841156008806706</v>
      </c>
      <c r="O29">
        <f t="shared" si="2"/>
        <v>-7.9679850482329186</v>
      </c>
    </row>
    <row r="30" spans="1:15" x14ac:dyDescent="0.7">
      <c r="A30">
        <v>29</v>
      </c>
      <c r="B30">
        <v>10.339523262889088</v>
      </c>
      <c r="C30">
        <v>-11.910711776514773</v>
      </c>
      <c r="D30">
        <f t="shared" si="3"/>
        <v>12.333306314040271</v>
      </c>
      <c r="E30">
        <f t="shared" si="2"/>
        <v>-4.2194026560205771</v>
      </c>
      <c r="F30">
        <f t="shared" si="2"/>
        <v>15.504434577358808</v>
      </c>
      <c r="G30">
        <f t="shared" si="2"/>
        <v>-1.6794686492439155</v>
      </c>
      <c r="H30">
        <f t="shared" si="2"/>
        <v>-0.43595601928598171</v>
      </c>
      <c r="I30">
        <f t="shared" si="2"/>
        <v>4.2292423764431533</v>
      </c>
      <c r="J30">
        <f t="shared" si="2"/>
        <v>0.66005626560607311</v>
      </c>
      <c r="K30">
        <f t="shared" si="2"/>
        <v>7.1307854368571952</v>
      </c>
      <c r="L30">
        <f t="shared" si="2"/>
        <v>5.5268316244413143</v>
      </c>
      <c r="M30">
        <f t="shared" si="2"/>
        <v>1.0334453166311732</v>
      </c>
      <c r="N30">
        <f t="shared" si="2"/>
        <v>5.23831955483314</v>
      </c>
      <c r="O30">
        <f t="shared" si="2"/>
        <v>13.841156008806706</v>
      </c>
    </row>
    <row r="31" spans="1:15" x14ac:dyDescent="0.7">
      <c r="A31">
        <v>30</v>
      </c>
      <c r="B31">
        <v>-15.315323266971262</v>
      </c>
      <c r="C31">
        <v>0.37167824691053397</v>
      </c>
      <c r="D31">
        <f t="shared" si="3"/>
        <v>-11.910711776514773</v>
      </c>
      <c r="E31">
        <f t="shared" si="2"/>
        <v>12.333306314040271</v>
      </c>
      <c r="F31">
        <f t="shared" si="2"/>
        <v>-4.2194026560205771</v>
      </c>
      <c r="G31">
        <f t="shared" si="2"/>
        <v>15.504434577358808</v>
      </c>
      <c r="H31">
        <f t="shared" si="2"/>
        <v>-1.6794686492439155</v>
      </c>
      <c r="I31">
        <f t="shared" si="2"/>
        <v>-0.43595601928598171</v>
      </c>
      <c r="J31">
        <f t="shared" si="2"/>
        <v>4.2292423764431533</v>
      </c>
      <c r="K31">
        <f t="shared" si="2"/>
        <v>0.66005626560607311</v>
      </c>
      <c r="L31">
        <f t="shared" si="2"/>
        <v>7.1307854368571952</v>
      </c>
      <c r="M31">
        <f t="shared" si="2"/>
        <v>5.5268316244413143</v>
      </c>
      <c r="N31">
        <f t="shared" si="2"/>
        <v>1.0334453166311732</v>
      </c>
      <c r="O31">
        <f t="shared" si="2"/>
        <v>5.23831955483314</v>
      </c>
    </row>
    <row r="32" spans="1:15" x14ac:dyDescent="0.7">
      <c r="A32">
        <v>31</v>
      </c>
      <c r="B32">
        <v>11.475122326557567</v>
      </c>
      <c r="C32">
        <v>12.168581707612219</v>
      </c>
      <c r="D32">
        <f t="shared" si="3"/>
        <v>0.37167824691053397</v>
      </c>
      <c r="E32">
        <f t="shared" si="2"/>
        <v>-11.910711776514773</v>
      </c>
      <c r="F32">
        <f t="shared" si="2"/>
        <v>12.333306314040271</v>
      </c>
      <c r="G32">
        <f t="shared" si="2"/>
        <v>-4.2194026560205771</v>
      </c>
      <c r="H32">
        <f t="shared" si="2"/>
        <v>15.504434577358808</v>
      </c>
      <c r="I32">
        <f t="shared" si="2"/>
        <v>-1.6794686492439155</v>
      </c>
      <c r="J32">
        <f t="shared" si="2"/>
        <v>-0.43595601928598171</v>
      </c>
      <c r="K32">
        <f t="shared" si="2"/>
        <v>4.2292423764431533</v>
      </c>
      <c r="L32">
        <f t="shared" si="2"/>
        <v>0.66005626560607311</v>
      </c>
      <c r="M32">
        <f t="shared" si="2"/>
        <v>7.1307854368571952</v>
      </c>
      <c r="N32">
        <f t="shared" si="2"/>
        <v>5.5268316244413143</v>
      </c>
      <c r="O32">
        <f t="shared" si="2"/>
        <v>1.0334453166311732</v>
      </c>
    </row>
    <row r="33" spans="1:15" x14ac:dyDescent="0.7">
      <c r="A33">
        <v>32</v>
      </c>
      <c r="B33">
        <v>-0.7937538899893184</v>
      </c>
      <c r="C33">
        <v>0.24881401667366276</v>
      </c>
      <c r="D33">
        <f t="shared" si="3"/>
        <v>12.168581707612219</v>
      </c>
      <c r="E33">
        <f t="shared" si="2"/>
        <v>0.37167824691053397</v>
      </c>
      <c r="F33">
        <f t="shared" si="2"/>
        <v>-11.910711776514773</v>
      </c>
      <c r="G33">
        <f t="shared" si="2"/>
        <v>12.333306314040271</v>
      </c>
      <c r="H33">
        <f t="shared" si="2"/>
        <v>-4.2194026560205771</v>
      </c>
      <c r="I33">
        <f t="shared" si="2"/>
        <v>15.504434577358808</v>
      </c>
      <c r="J33">
        <f t="shared" si="2"/>
        <v>-1.6794686492439155</v>
      </c>
      <c r="K33">
        <f t="shared" si="2"/>
        <v>-0.43595601928598171</v>
      </c>
      <c r="L33">
        <f t="shared" si="2"/>
        <v>4.2292423764431533</v>
      </c>
      <c r="M33">
        <f t="shared" si="2"/>
        <v>0.66005626560607311</v>
      </c>
      <c r="N33">
        <f t="shared" si="2"/>
        <v>7.1307854368571952</v>
      </c>
      <c r="O33">
        <f t="shared" si="2"/>
        <v>5.5268316244413143</v>
      </c>
    </row>
    <row r="34" spans="1:15" x14ac:dyDescent="0.7">
      <c r="A34">
        <v>33</v>
      </c>
      <c r="B34">
        <v>6.0515753303059228</v>
      </c>
      <c r="C34">
        <v>-9.892187347814513</v>
      </c>
      <c r="D34">
        <f t="shared" si="3"/>
        <v>0.24881401667366276</v>
      </c>
      <c r="E34">
        <f t="shared" si="2"/>
        <v>12.168581707612219</v>
      </c>
      <c r="F34">
        <f t="shared" si="2"/>
        <v>0.37167824691053397</v>
      </c>
      <c r="G34">
        <f t="shared" si="2"/>
        <v>-11.910711776514773</v>
      </c>
      <c r="H34">
        <f t="shared" si="2"/>
        <v>12.333306314040271</v>
      </c>
      <c r="I34">
        <f t="shared" si="2"/>
        <v>-4.2194026560205771</v>
      </c>
      <c r="J34">
        <f t="shared" si="2"/>
        <v>15.504434577358808</v>
      </c>
      <c r="K34">
        <f t="shared" si="2"/>
        <v>-1.6794686492439155</v>
      </c>
      <c r="L34">
        <f t="shared" si="2"/>
        <v>-0.43595601928598171</v>
      </c>
      <c r="M34">
        <f t="shared" si="2"/>
        <v>4.2292423764431533</v>
      </c>
      <c r="N34">
        <f t="shared" si="2"/>
        <v>0.66005626560607311</v>
      </c>
      <c r="O34">
        <f t="shared" si="2"/>
        <v>7.1307854368571952</v>
      </c>
    </row>
    <row r="35" spans="1:15" x14ac:dyDescent="0.7">
      <c r="A35">
        <v>34</v>
      </c>
      <c r="B35">
        <v>2.1732850972513802</v>
      </c>
      <c r="C35">
        <v>-14.689893781471113</v>
      </c>
      <c r="D35">
        <f t="shared" si="3"/>
        <v>-9.892187347814513</v>
      </c>
      <c r="E35">
        <f t="shared" si="2"/>
        <v>0.24881401667366276</v>
      </c>
      <c r="F35">
        <f t="shared" si="2"/>
        <v>12.168581707612219</v>
      </c>
      <c r="G35">
        <f t="shared" si="2"/>
        <v>0.37167824691053397</v>
      </c>
      <c r="H35">
        <f t="shared" si="2"/>
        <v>-11.910711776514773</v>
      </c>
      <c r="I35">
        <f t="shared" si="2"/>
        <v>12.333306314040271</v>
      </c>
      <c r="J35">
        <f t="shared" si="2"/>
        <v>-4.2194026560205771</v>
      </c>
      <c r="K35">
        <f t="shared" si="2"/>
        <v>15.504434577358808</v>
      </c>
      <c r="L35">
        <f t="shared" si="2"/>
        <v>-1.6794686492439155</v>
      </c>
      <c r="M35">
        <f t="shared" si="2"/>
        <v>-0.43595601928598171</v>
      </c>
      <c r="N35">
        <f t="shared" si="2"/>
        <v>4.2292423764431533</v>
      </c>
      <c r="O35">
        <f t="shared" si="2"/>
        <v>0.66005626560607311</v>
      </c>
    </row>
    <row r="36" spans="1:15" x14ac:dyDescent="0.7">
      <c r="A36">
        <v>35</v>
      </c>
      <c r="B36">
        <v>44.775090295277181</v>
      </c>
      <c r="C36">
        <v>26.035405072327364</v>
      </c>
      <c r="D36">
        <f t="shared" si="3"/>
        <v>-14.689893781471113</v>
      </c>
      <c r="E36">
        <f t="shared" si="2"/>
        <v>-9.892187347814513</v>
      </c>
      <c r="F36">
        <f t="shared" si="2"/>
        <v>0.24881401667366276</v>
      </c>
      <c r="G36">
        <f t="shared" si="2"/>
        <v>12.168581707612219</v>
      </c>
      <c r="H36">
        <f t="shared" si="2"/>
        <v>0.37167824691053397</v>
      </c>
      <c r="I36">
        <f t="shared" si="2"/>
        <v>-11.910711776514773</v>
      </c>
      <c r="J36">
        <f t="shared" si="2"/>
        <v>12.333306314040271</v>
      </c>
      <c r="K36">
        <f t="shared" si="2"/>
        <v>-4.2194026560205771</v>
      </c>
      <c r="L36">
        <f t="shared" si="2"/>
        <v>15.504434577358808</v>
      </c>
      <c r="M36">
        <f t="shared" si="2"/>
        <v>-1.6794686492439155</v>
      </c>
      <c r="N36">
        <f t="shared" si="2"/>
        <v>-0.43595601928598171</v>
      </c>
      <c r="O36">
        <f t="shared" si="2"/>
        <v>4.2292423764431533</v>
      </c>
    </row>
    <row r="37" spans="1:15" x14ac:dyDescent="0.7">
      <c r="A37">
        <v>36</v>
      </c>
      <c r="B37">
        <v>51.73048977191587</v>
      </c>
      <c r="C37">
        <v>16.302147954710449</v>
      </c>
      <c r="D37">
        <f t="shared" si="3"/>
        <v>26.035405072327364</v>
      </c>
      <c r="E37">
        <f t="shared" si="2"/>
        <v>-14.689893781471113</v>
      </c>
      <c r="F37">
        <f t="shared" si="2"/>
        <v>-9.892187347814513</v>
      </c>
      <c r="G37">
        <f t="shared" si="2"/>
        <v>0.24881401667366276</v>
      </c>
      <c r="H37">
        <f t="shared" si="2"/>
        <v>12.168581707612219</v>
      </c>
      <c r="I37">
        <f t="shared" si="2"/>
        <v>0.37167824691053397</v>
      </c>
      <c r="J37">
        <f t="shared" si="2"/>
        <v>-11.910711776514773</v>
      </c>
      <c r="K37">
        <f t="shared" si="2"/>
        <v>12.333306314040271</v>
      </c>
      <c r="L37">
        <f t="shared" si="2"/>
        <v>-4.2194026560205771</v>
      </c>
      <c r="M37">
        <f t="shared" si="2"/>
        <v>15.504434577358808</v>
      </c>
      <c r="N37">
        <f t="shared" si="2"/>
        <v>-1.6794686492439155</v>
      </c>
      <c r="O37">
        <f t="shared" si="2"/>
        <v>-0.43595601928598171</v>
      </c>
    </row>
    <row r="38" spans="1:15" x14ac:dyDescent="0.7">
      <c r="B38">
        <f>AVERAGE(B2:B37)</f>
        <v>3.5764049416197494</v>
      </c>
      <c r="C38">
        <f>SUMPRODUCT($C$2:$C$37,C2:C37)</f>
        <v>3550.6655510074538</v>
      </c>
      <c r="D38">
        <f>SUMPRODUCT($C$2:$C$37,D2:D37)</f>
        <v>102.27343121650767</v>
      </c>
      <c r="E38">
        <f t="shared" ref="E38:O38" si="4">SUMPRODUCT($C$2:$C$37,E2:E37)</f>
        <v>-383.4734150671913</v>
      </c>
      <c r="F38">
        <f t="shared" si="4"/>
        <v>-460.03165540245567</v>
      </c>
      <c r="G38">
        <f t="shared" si="4"/>
        <v>527.54753305346674</v>
      </c>
      <c r="H38">
        <f t="shared" si="4"/>
        <v>989.44214794354821</v>
      </c>
      <c r="I38">
        <f t="shared" si="4"/>
        <v>-514.35251084125298</v>
      </c>
      <c r="J38">
        <f t="shared" si="4"/>
        <v>-206.47254084314429</v>
      </c>
      <c r="K38">
        <f t="shared" si="4"/>
        <v>-469.74518947633828</v>
      </c>
      <c r="L38">
        <f t="shared" si="4"/>
        <v>343.62006113248407</v>
      </c>
      <c r="M38">
        <f t="shared" si="4"/>
        <v>-224.99503802019527</v>
      </c>
      <c r="N38">
        <f t="shared" si="4"/>
        <v>301.93814446012158</v>
      </c>
      <c r="O38">
        <f t="shared" si="4"/>
        <v>-702.06301526873699</v>
      </c>
    </row>
    <row r="40" spans="1:15" x14ac:dyDescent="0.7">
      <c r="B40" t="s">
        <v>29</v>
      </c>
      <c r="D40">
        <f>D38/$C$38</f>
        <v>2.8804017091243347E-2</v>
      </c>
      <c r="E40">
        <f t="shared" ref="E40:N40" si="5">E38/$C$38</f>
        <v>-0.10800043247057889</v>
      </c>
      <c r="F40">
        <f t="shared" si="5"/>
        <v>-0.1295620916117903</v>
      </c>
      <c r="G40">
        <f t="shared" si="5"/>
        <v>0.1485770837818792</v>
      </c>
      <c r="H40">
        <f t="shared" si="5"/>
        <v>0.27866385434775948</v>
      </c>
      <c r="I40">
        <f t="shared" si="5"/>
        <v>-0.14486087282856375</v>
      </c>
      <c r="J40">
        <f t="shared" si="5"/>
        <v>-5.8150377127060157E-2</v>
      </c>
      <c r="K40">
        <f t="shared" si="5"/>
        <v>-0.13229778550758023</v>
      </c>
      <c r="L40">
        <f t="shared" si="5"/>
        <v>9.6776239889726154E-2</v>
      </c>
      <c r="M40">
        <f t="shared" si="5"/>
        <v>-6.3367003956865481E-2</v>
      </c>
      <c r="N40">
        <f t="shared" si="5"/>
        <v>8.5037055763939995E-2</v>
      </c>
      <c r="O40">
        <f>O38/$C$38</f>
        <v>-0.19772715993189954</v>
      </c>
    </row>
    <row r="41" spans="1:15" x14ac:dyDescent="0.7">
      <c r="B41" t="s">
        <v>30</v>
      </c>
      <c r="D41">
        <f>2/SQRT(36)</f>
        <v>0.33333333333333331</v>
      </c>
      <c r="E41">
        <f t="shared" ref="E41:O41" si="6">2/SQRT(36)</f>
        <v>0.33333333333333331</v>
      </c>
      <c r="F41">
        <f t="shared" si="6"/>
        <v>0.33333333333333331</v>
      </c>
      <c r="G41">
        <f t="shared" si="6"/>
        <v>0.33333333333333331</v>
      </c>
      <c r="H41">
        <f t="shared" si="6"/>
        <v>0.33333333333333331</v>
      </c>
      <c r="I41">
        <f t="shared" si="6"/>
        <v>0.33333333333333331</v>
      </c>
      <c r="J41">
        <f t="shared" si="6"/>
        <v>0.33333333333333331</v>
      </c>
      <c r="K41">
        <f t="shared" si="6"/>
        <v>0.33333333333333331</v>
      </c>
      <c r="L41">
        <f t="shared" si="6"/>
        <v>0.33333333333333331</v>
      </c>
      <c r="M41">
        <f t="shared" si="6"/>
        <v>0.33333333333333331</v>
      </c>
      <c r="N41">
        <f t="shared" si="6"/>
        <v>0.33333333333333331</v>
      </c>
      <c r="O41">
        <f t="shared" si="6"/>
        <v>0.33333333333333331</v>
      </c>
    </row>
    <row r="42" spans="1:15" x14ac:dyDescent="0.7">
      <c r="B42" t="s">
        <v>31</v>
      </c>
      <c r="D42">
        <f>-2/SQRT(36)</f>
        <v>-0.33333333333333331</v>
      </c>
      <c r="E42">
        <f t="shared" ref="E42:O42" si="7">-2/SQRT(36)</f>
        <v>-0.33333333333333331</v>
      </c>
      <c r="F42">
        <f t="shared" si="7"/>
        <v>-0.33333333333333331</v>
      </c>
      <c r="G42">
        <f t="shared" si="7"/>
        <v>-0.33333333333333331</v>
      </c>
      <c r="H42">
        <f t="shared" si="7"/>
        <v>-0.33333333333333331</v>
      </c>
      <c r="I42">
        <f t="shared" si="7"/>
        <v>-0.33333333333333331</v>
      </c>
      <c r="J42">
        <f t="shared" si="7"/>
        <v>-0.33333333333333331</v>
      </c>
      <c r="K42">
        <f t="shared" si="7"/>
        <v>-0.33333333333333331</v>
      </c>
      <c r="L42">
        <f t="shared" si="7"/>
        <v>-0.33333333333333331</v>
      </c>
      <c r="M42">
        <f t="shared" si="7"/>
        <v>-0.33333333333333331</v>
      </c>
      <c r="N42">
        <f t="shared" si="7"/>
        <v>-0.33333333333333331</v>
      </c>
      <c r="O42">
        <f t="shared" si="7"/>
        <v>-0.33333333333333331</v>
      </c>
    </row>
  </sheetData>
  <phoneticPr fontId="4" type="noConversion"/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Timeseries</vt:lpstr>
      <vt:lpstr>SES</vt:lpstr>
      <vt:lpstr>Holt'sTrend-Corrected</vt:lpstr>
      <vt:lpstr>Holt's Autocorrelation</vt:lpstr>
      <vt:lpstr>HoltWintersInitial</vt:lpstr>
      <vt:lpstr>HoltWintersSeasonal</vt:lpstr>
      <vt:lpstr>Hw Autocorrelation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Foreman</dc:creator>
  <cp:lastModifiedBy>정병도</cp:lastModifiedBy>
  <dcterms:created xsi:type="dcterms:W3CDTF">2013-04-01T16:41:05Z</dcterms:created>
  <dcterms:modified xsi:type="dcterms:W3CDTF">2020-05-07T01:36:49Z</dcterms:modified>
</cp:coreProperties>
</file>